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268be6be5abf1e/Desktop/Excel/"/>
    </mc:Choice>
  </mc:AlternateContent>
  <xr:revisionPtr revIDLastSave="10" documentId="8_{2FE32BAF-6E9E-4B5F-9DAF-9C4486AAFAE4}" xr6:coauthVersionLast="47" xr6:coauthVersionMax="47" xr10:uidLastSave="{82D6FE22-1793-4A1E-8FA5-C76537D22EC9}"/>
  <bookViews>
    <workbookView xWindow="-108" yWindow="-108" windowWidth="23256" windowHeight="13896" xr2:uid="{A209E19C-560C-44DB-99D5-56DDC93F7728}"/>
  </bookViews>
  <sheets>
    <sheet name="Davranış Analizi" sheetId="1" r:id="rId1"/>
    <sheet name="Region analizi" sheetId="2" r:id="rId2"/>
  </sheets>
  <calcPr calcId="191029"/>
  <pivotCaches>
    <pivotCache cacheId="0" r:id="rId3"/>
    <pivotCache cacheId="1" r:id="rId4"/>
    <pivotCache cacheId="3" r:id="rId5"/>
    <pivotCache cacheId="4" r:id="rId6"/>
    <pivotCache cacheId="5" r:id="rId7"/>
    <pivotCache cacheId="6" r:id="rId8"/>
    <pivotCache cacheId="7" r:id="rId9"/>
    <pivotCache cacheId="8" r:id="rId10"/>
    <pivotCache cacheId="9" r:id="rId11"/>
    <pivotCache cacheId="10" r:id="rId12"/>
    <pivotCache cacheId="1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ivity_a952683d-678e-4f8c-aa46-854b8d997f03" name="Activity" connection="Query - Activity"/>
          <x15:modelTable id="Campaigns_b7996395-7bd1-40ba-89e8-40f7f57ec7b1" name="Campaigns" connection="Query - Campaigns"/>
          <x15:modelTable id="Users_33d416e2-155a-4244-8b7a-259371bc169c" name="Users" connection="Query - Users"/>
        </x15:modelTables>
        <x15:modelRelationships>
          <x15:modelRelationship fromTable="Activity" fromColumn="Campaign Name" toTable="Campaigns" toColumn="Campaign Name"/>
          <x15:modelRelationship fromTable="Activity" fromColumn="User ID" toTable="Users" toColumn="User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Activity" columnName="aylar" columnId="aylar">
                <x16:calculatedTimeColumn columnName="aylar (Year)" columnId="aylar (Year)" contentType="years" isSelected="0"/>
                <x16:calculatedTimeColumn columnName="aylar (Quarter)" columnId="aylar (Quarter)" contentType="quarters" isSelected="0"/>
                <x16:calculatedTimeColumn columnName="aylar (Month Index)" columnId="aylar (Month Index)" contentType="monthsindex" isSelected="1"/>
                <x16:calculatedTimeColumn columnName="aylar (Month)" columnId="aylar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1" l="1"/>
  <c r="E54" i="1"/>
  <c r="D55" i="1"/>
  <c r="D54" i="1"/>
  <c r="C25" i="2"/>
  <c r="C26" i="2"/>
  <c r="C27" i="2"/>
  <c r="C28" i="2"/>
  <c r="C24" i="2"/>
  <c r="F47" i="2"/>
  <c r="F48" i="2"/>
  <c r="F49" i="2"/>
  <c r="F50" i="2"/>
  <c r="F51" i="2"/>
  <c r="F4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62DD8C-7942-4196-A0D4-146F312696C4}" name="Query - Activity" description="Connection to the 'Activity' query in the workbook." type="100" refreshedVersion="7" minRefreshableVersion="5">
    <extLst>
      <ext xmlns:x15="http://schemas.microsoft.com/office/spreadsheetml/2010/11/main" uri="{DE250136-89BD-433C-8126-D09CA5730AF9}">
        <x15:connection id="cbd728d3-b863-4b34-ba6c-84351d1a2d86"/>
      </ext>
    </extLst>
  </connection>
  <connection id="2" xr16:uid="{D0ED46C9-EBA1-4FFF-ADD0-4266A46CF1D1}" name="Query - Campaigns" description="Connection to the 'Campaigns' query in the workbook." type="100" refreshedVersion="7" minRefreshableVersion="5">
    <extLst>
      <ext xmlns:x15="http://schemas.microsoft.com/office/spreadsheetml/2010/11/main" uri="{DE250136-89BD-433C-8126-D09CA5730AF9}">
        <x15:connection id="e9c1339d-6500-4557-bffe-fe19d20867e6"/>
      </ext>
    </extLst>
  </connection>
  <connection id="3" xr16:uid="{458D5102-A195-4673-A00A-EE7B0D8D08DF}" name="Query - Users" description="Connection to the 'Users' query in the workbook." type="100" refreshedVersion="7" minRefreshableVersion="5">
    <extLst>
      <ext xmlns:x15="http://schemas.microsoft.com/office/spreadsheetml/2010/11/main" uri="{DE250136-89BD-433C-8126-D09CA5730AF9}">
        <x15:connection id="040ab839-02bc-4000-b842-5ff0751b231f"/>
      </ext>
    </extLst>
  </connection>
  <connection id="4" xr16:uid="{99F34A89-5CEA-4199-BB9F-266B20DA45CD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Activity].[ayliq aktiv sayi].&amp;[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<sst xmlns="http://schemas.openxmlformats.org/spreadsheetml/2006/main" count="112" uniqueCount="61">
  <si>
    <t>U0007</t>
  </si>
  <si>
    <t>U0015</t>
  </si>
  <si>
    <t>U0019</t>
  </si>
  <si>
    <t>U0022</t>
  </si>
  <si>
    <t>U0031</t>
  </si>
  <si>
    <t>U0056</t>
  </si>
  <si>
    <t>U0095</t>
  </si>
  <si>
    <t>U0101</t>
  </si>
  <si>
    <t>U0102</t>
  </si>
  <si>
    <t>U0161</t>
  </si>
  <si>
    <t>U0164</t>
  </si>
  <si>
    <t>Grand Total</t>
  </si>
  <si>
    <t>`</t>
  </si>
  <si>
    <t>Aşağı</t>
  </si>
  <si>
    <t>Orta</t>
  </si>
  <si>
    <t>Yüksək</t>
  </si>
  <si>
    <t>Android</t>
  </si>
  <si>
    <t>iOS</t>
  </si>
  <si>
    <t>Aktivlik Qrupu</t>
  </si>
  <si>
    <t>Cihaz Növü</t>
  </si>
  <si>
    <t>3</t>
  </si>
  <si>
    <t>Campaign A</t>
  </si>
  <si>
    <t>Campaign B</t>
  </si>
  <si>
    <t>Campaign C</t>
  </si>
  <si>
    <t>Campaign D</t>
  </si>
  <si>
    <t>Campaign E</t>
  </si>
  <si>
    <t>Campaign F</t>
  </si>
  <si>
    <t>Stabillik faizi</t>
  </si>
  <si>
    <t>Africa</t>
  </si>
  <si>
    <t>Asia</t>
  </si>
  <si>
    <t>Europe</t>
  </si>
  <si>
    <t>North America</t>
  </si>
  <si>
    <t>South America</t>
  </si>
  <si>
    <t>Aktivliyə görə istifadəçilər 3 yerə bölünür.10dan çox olanlar yüksək aktiv,5dən çoxdursa orta,digərləri isə aşağı aktiv kimi götürülür.Ən çox olan orta qrupdur.Ümumi istifadəçilərin sayı 200 nəfərdir .</t>
  </si>
  <si>
    <t>1.1. Gündəlik və aylıq aktivlik</t>
  </si>
  <si>
    <t>1.2. Cihaz növü üzrə analiz</t>
  </si>
  <si>
    <t>Ümumi cəmdə Android istifadəçilərinin üstünlük təşkil etdiyini görmək olur.
Analizi ümumi cəmə görə aparsaq  Android daha üstündür.Ancaq aktivliyə baxsaq yüksək aktivliyə görə İOS istifadəçiləri üstündür.</t>
  </si>
  <si>
    <t>PaymentMade (USD)</t>
  </si>
  <si>
    <t>Usage Duration (min)</t>
  </si>
  <si>
    <t>Ümumi</t>
  </si>
  <si>
    <t>Ümumi vaxt</t>
  </si>
  <si>
    <t>Ümumi gelir</t>
  </si>
  <si>
    <t>3 dəfə aktiv olanlar</t>
  </si>
  <si>
    <t>Ümumi istifadəçilər</t>
  </si>
  <si>
    <t>İstifadəçilər</t>
  </si>
  <si>
    <t>Regionlar</t>
  </si>
  <si>
    <t>İstifadəçi sayı</t>
  </si>
  <si>
    <t>%</t>
  </si>
  <si>
    <t>Region üzrə qoşulma</t>
  </si>
  <si>
    <t xml:space="preserve"> </t>
  </si>
  <si>
    <t>Hər  regionda ən çox satılan kampaniya</t>
  </si>
  <si>
    <t>Region üzrə gəlir</t>
  </si>
  <si>
    <t>Gəlir</t>
  </si>
  <si>
    <t>Ümumi Gəlir</t>
  </si>
  <si>
    <t>Dəyər</t>
  </si>
  <si>
    <t>1.3. Loyal istifadəçilər</t>
  </si>
  <si>
    <t>Aylıq aktiv sayı</t>
  </si>
  <si>
    <r>
      <t xml:space="preserve">Stabillik faizinə baxsaq </t>
    </r>
    <r>
      <rPr>
        <b/>
        <sz val="16"/>
        <color rgb="FFFF0000"/>
        <rFont val="Calibri"/>
        <family val="2"/>
        <scheme val="minor"/>
      </rPr>
      <t>E</t>
    </r>
    <r>
      <rPr>
        <sz val="16"/>
        <color theme="1"/>
        <rFont val="Calibri"/>
        <family val="2"/>
        <scheme val="minor"/>
      </rPr>
      <t>,</t>
    </r>
    <r>
      <rPr>
        <b/>
        <sz val="16"/>
        <color rgb="FFFF0000"/>
        <rFont val="Calibri"/>
        <family val="2"/>
        <scheme val="minor"/>
      </rPr>
      <t>A</t>
    </r>
    <r>
      <rPr>
        <sz val="16"/>
        <color theme="1"/>
        <rFont val="Calibri"/>
        <family val="2"/>
        <scheme val="minor"/>
      </rPr>
      <t xml:space="preserve"> və </t>
    </r>
    <r>
      <rPr>
        <b/>
        <sz val="16"/>
        <color rgb="FFFF0000"/>
        <rFont val="Calibri"/>
        <family val="2"/>
        <scheme val="minor"/>
      </rPr>
      <t>F</t>
    </r>
    <r>
      <rPr>
        <sz val="16"/>
        <color theme="1"/>
        <rFont val="Calibri"/>
        <family val="2"/>
        <scheme val="minor"/>
      </rPr>
      <t xml:space="preserve"> kampaniyalarının 
daha stabil olduğunu deyə bilərik</t>
    </r>
  </si>
  <si>
    <r>
      <t xml:space="preserve">Gəliri az amma istifadəçi sayı çox olan 
kampaniyalara </t>
    </r>
    <r>
      <rPr>
        <b/>
        <sz val="16"/>
        <color rgb="FFFF0000"/>
        <rFont val="Calibri"/>
        <family val="2"/>
        <scheme val="minor"/>
      </rPr>
      <t>F</t>
    </r>
    <r>
      <rPr>
        <sz val="16"/>
        <color theme="1"/>
        <rFont val="Calibri"/>
        <family val="2"/>
        <scheme val="minor"/>
      </rPr>
      <t xml:space="preserve"> və </t>
    </r>
    <r>
      <rPr>
        <b/>
        <sz val="16"/>
        <color rgb="FFFF0000"/>
        <rFont val="Calibri"/>
        <family val="2"/>
        <scheme val="minor"/>
      </rPr>
      <t>E</t>
    </r>
    <r>
      <rPr>
        <sz val="16"/>
        <color theme="1"/>
        <rFont val="Calibri"/>
        <family val="2"/>
        <scheme val="minor"/>
      </rPr>
      <t>-ni aid etmək olar</t>
    </r>
  </si>
  <si>
    <t>Kampaniyalar</t>
  </si>
  <si>
    <r>
      <t xml:space="preserve">Qiyməti çox olan amma az ödəniş edilən 
kampaniyaya </t>
    </r>
    <r>
      <rPr>
        <b/>
        <sz val="14"/>
        <color rgb="FFFF0000"/>
        <rFont val="Calibri"/>
        <family val="2"/>
        <scheme val="minor"/>
      </rPr>
      <t>C</t>
    </r>
    <r>
      <rPr>
        <sz val="14"/>
        <color theme="1"/>
        <rFont val="Calibri"/>
        <family val="2"/>
        <scheme val="minor"/>
      </rPr>
      <t xml:space="preserve"> aiddir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</si>
</sst>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\$#,##0"/>
    <numFmt numFmtId="165" formatCode="[$$-2809]#,##0"/>
    <numFmt numFmtId="166" formatCode="0%;\-0%;0%"/>
    <numFmt numFmtId="167" formatCode="[$$-C09]#,##0"/>
  </numFmts>
  <fonts count="21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6"/>
      <color theme="1"/>
      <name val="Calibri"/>
      <family val="2"/>
      <charset val="186"/>
      <scheme val="minor"/>
    </font>
    <font>
      <sz val="18"/>
      <color theme="1"/>
      <name val="Calibri"/>
      <family val="2"/>
      <charset val="186"/>
      <scheme val="minor"/>
    </font>
    <font>
      <sz val="14"/>
      <color theme="1"/>
      <name val="Calibri"/>
      <family val="2"/>
      <charset val="186"/>
      <scheme val="minor"/>
    </font>
    <font>
      <sz val="18"/>
      <color theme="1"/>
      <name val="Calibri"/>
      <family val="2"/>
      <scheme val="minor"/>
    </font>
    <font>
      <b/>
      <sz val="18"/>
      <color rgb="FF000000"/>
      <name val="Palatino Linotype"/>
      <family val="1"/>
    </font>
    <font>
      <b/>
      <sz val="14"/>
      <color rgb="FFFF0000"/>
      <name val="Calibri"/>
      <family val="2"/>
      <scheme val="minor"/>
    </font>
    <font>
      <b/>
      <sz val="16"/>
      <color rgb="FF000000"/>
      <name val="Palatino Linotype"/>
      <family val="1"/>
    </font>
    <font>
      <sz val="20"/>
      <color theme="1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charset val="186"/>
      <scheme val="minor"/>
    </font>
    <font>
      <sz val="20"/>
      <color theme="1"/>
      <name val="Calibri"/>
      <family val="2"/>
      <scheme val="minor"/>
    </font>
    <font>
      <b/>
      <sz val="20"/>
      <color rgb="FF000000"/>
      <name val="Palatino Linotype"/>
      <family val="1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0" fillId="0" borderId="0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" xfId="0" pivotButton="1" applyFont="1" applyBorder="1"/>
    <xf numFmtId="0" fontId="3" fillId="0" borderId="1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13" fillId="0" borderId="9" xfId="0" applyFont="1" applyBorder="1" applyAlignment="1">
      <alignment horizontal="left"/>
    </xf>
    <xf numFmtId="165" fontId="13" fillId="0" borderId="2" xfId="0" applyNumberFormat="1" applyFont="1" applyBorder="1" applyAlignment="1">
      <alignment horizontal="left"/>
    </xf>
    <xf numFmtId="0" fontId="13" fillId="0" borderId="4" xfId="0" applyNumberFormat="1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165" fontId="13" fillId="0" borderId="5" xfId="0" applyNumberFormat="1" applyFont="1" applyBorder="1" applyAlignment="1">
      <alignment horizontal="left"/>
    </xf>
    <xf numFmtId="0" fontId="13" fillId="0" borderId="6" xfId="0" applyNumberFormat="1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165" fontId="13" fillId="0" borderId="7" xfId="0" applyNumberFormat="1" applyFont="1" applyBorder="1" applyAlignment="1">
      <alignment horizontal="left"/>
    </xf>
    <xf numFmtId="0" fontId="13" fillId="0" borderId="8" xfId="0" applyNumberFormat="1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9" fillId="0" borderId="0" xfId="0" pivotButton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left" wrapText="1"/>
    </xf>
    <xf numFmtId="0" fontId="16" fillId="0" borderId="3" xfId="0" applyFont="1" applyBorder="1" applyAlignment="1">
      <alignment horizontal="left" wrapText="1"/>
    </xf>
    <xf numFmtId="0" fontId="16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0" fontId="16" fillId="0" borderId="1" xfId="0" pivotButton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9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NumberFormat="1" applyFont="1" applyBorder="1" applyAlignment="1">
      <alignment horizontal="center" vertical="center"/>
    </xf>
    <xf numFmtId="0" fontId="17" fillId="0" borderId="0" xfId="0" pivotButton="1" applyFont="1"/>
    <xf numFmtId="0" fontId="17" fillId="0" borderId="0" xfId="0" applyFont="1"/>
    <xf numFmtId="0" fontId="18" fillId="2" borderId="0" xfId="0" applyFont="1" applyFill="1"/>
    <xf numFmtId="14" fontId="17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NumberFormat="1" applyFont="1" applyBorder="1" applyAlignment="1">
      <alignment horizontal="center"/>
    </xf>
    <xf numFmtId="9" fontId="17" fillId="0" borderId="1" xfId="1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pivotButton="1" applyFont="1" applyAlignment="1">
      <alignment horizontal="center"/>
    </xf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4" fontId="18" fillId="2" borderId="0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center"/>
    </xf>
    <xf numFmtId="0" fontId="2" fillId="0" borderId="0" xfId="0" pivotButton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10" fontId="2" fillId="0" borderId="0" xfId="0" applyNumberFormat="1" applyFont="1" applyBorder="1" applyAlignment="1">
      <alignment horizontal="center"/>
    </xf>
    <xf numFmtId="0" fontId="10" fillId="0" borderId="0" xfId="0" pivotButton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06">
    <dxf>
      <font>
        <b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b val="0"/>
      </font>
    </dxf>
    <dxf>
      <font>
        <b val="0"/>
      </font>
    </dxf>
    <dxf>
      <font>
        <b val="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20"/>
      </font>
    </dxf>
    <dxf>
      <font>
        <sz val="20"/>
      </font>
    </dxf>
    <dxf>
      <font>
        <sz val="20"/>
      </font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20"/>
      </font>
    </dxf>
    <dxf>
      <font>
        <sz val="20"/>
      </font>
    </dxf>
    <dxf>
      <font>
        <sz val="20"/>
      </font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$-2809]#,##0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55" Type="http://schemas.openxmlformats.org/officeDocument/2006/relationships/customXml" Target="../customXml/item35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3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52" Type="http://schemas.openxmlformats.org/officeDocument/2006/relationships/customXml" Target="../customXml/item32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1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54" Type="http://schemas.openxmlformats.org/officeDocument/2006/relationships/customXml" Target="../customXml/item3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19537561404566"/>
          <c:y val="3.6416990814892296E-2"/>
          <c:w val="0.87018116447215754"/>
          <c:h val="0.844450527898538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'Davranış Analizi'!$C$54</c:f>
              <c:strCache>
                <c:ptCount val="1"/>
                <c:pt idx="0">
                  <c:v>3 dəfə aktiv olanlar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8283887625443986E-17"/>
                  <c:y val="3.65655126949637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DA-4DE6-85D7-8BFD544DF8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'Davranış Analizi'!$D$53:$E$53</c:f>
              <c:strCache>
                <c:ptCount val="2"/>
                <c:pt idx="0">
                  <c:v>Ümumi gelir</c:v>
                </c:pt>
                <c:pt idx="1">
                  <c:v>Ümumi vaxt</c:v>
                </c:pt>
              </c:strCache>
            </c:strRef>
          </c:cat>
          <c:val>
            <c:numRef>
              <c:f>'Davranış Analizi'!$D$54:$E$54</c:f>
              <c:numCache>
                <c:formatCode>General</c:formatCode>
                <c:ptCount val="2"/>
                <c:pt idx="0" formatCode="[$$-2809]#,##0">
                  <c:v>25103</c:v>
                </c:pt>
                <c:pt idx="1">
                  <c:v>2474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6-467E-9907-788C305C45C3}"/>
            </c:ext>
          </c:extLst>
        </c:ser>
        <c:ser>
          <c:idx val="1"/>
          <c:order val="1"/>
          <c:tx>
            <c:strRef>
              <c:f>'Davranış Analizi'!$C$55</c:f>
              <c:strCache>
                <c:ptCount val="1"/>
                <c:pt idx="0">
                  <c:v>Ümumi istifadəçilər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'Davranış Analizi'!$D$53:$E$53</c:f>
              <c:strCache>
                <c:ptCount val="2"/>
                <c:pt idx="0">
                  <c:v>Ümumi gelir</c:v>
                </c:pt>
                <c:pt idx="1">
                  <c:v>Ümumi vaxt</c:v>
                </c:pt>
              </c:strCache>
            </c:strRef>
          </c:cat>
          <c:val>
            <c:numRef>
              <c:f>'Davranış Analizi'!$D$55:$E$55</c:f>
              <c:numCache>
                <c:formatCode>#,##0</c:formatCode>
                <c:ptCount val="2"/>
                <c:pt idx="0" formatCode="\$#,##0;\(\$#,##0\);\$#,##0">
                  <c:v>657572</c:v>
                </c:pt>
                <c:pt idx="1">
                  <c:v>76047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6-467E-9907-788C305C45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8068528"/>
        <c:axId val="1648066032"/>
      </c:barChart>
      <c:catAx>
        <c:axId val="164806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66032"/>
        <c:crosses val="autoZero"/>
        <c:auto val="1"/>
        <c:lblAlgn val="ctr"/>
        <c:lblOffset val="100"/>
        <c:noMultiLvlLbl val="0"/>
      </c:catAx>
      <c:valAx>
        <c:axId val="1648066032"/>
        <c:scaling>
          <c:orientation val="minMax"/>
        </c:scaling>
        <c:delete val="0"/>
        <c:axPos val="l"/>
        <c:numFmt formatCode="[$$-28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6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604609</xdr:colOff>
      <xdr:row>57</xdr:row>
      <xdr:rowOff>31352</xdr:rowOff>
    </xdr:from>
    <xdr:to>
      <xdr:col>4</xdr:col>
      <xdr:colOff>1965158</xdr:colOff>
      <xdr:row>89</xdr:row>
      <xdr:rowOff>106949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247B13-3E1F-40D4-BC75-D04ED6C4A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2741550929" createdVersion="5" refreshedVersion="7" minRefreshableVersion="3" recordCount="0" supportSubquery="1" supportAdvancedDrill="1" xr:uid="{DCC96806-B1BB-44CD-A762-5BF13462FF66}">
  <cacheSource type="external" connectionId="4"/>
  <cacheFields count="3">
    <cacheField name="[Users].[Region].[Region]" caption="Region" numFmtId="0" hierarchy="20" level="1">
      <sharedItems count="5">
        <s v="Africa"/>
        <s v="Asia"/>
        <s v="Europe"/>
        <s v="North America"/>
        <s v="South America"/>
      </sharedItems>
    </cacheField>
    <cacheField name="[Measures].[Distinct Count of User ID]" caption="Distinct Count of User ID" numFmtId="0" hierarchy="27" level="32767"/>
    <cacheField name="Dummy0" numFmtId="0" hierarchy="4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4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0" memberValueDatatype="130" unbalanced="0"/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2" memberValueDatatype="130" unbalanced="0">
      <fieldsUsage count="2">
        <fieldUsage x="-1"/>
        <fieldUsage x="0"/>
      </fieldsUsage>
    </cacheHierarchy>
    <cacheHierarchy uniqueName="[Users].[aktivlik qrupu]" caption="aktivlik qrupu" attribute="1" defaultMemberUniqueName="[Users].[aktivlik qrupu].[All]" allUniqueName="[Users].[aktivlik qrupu].[All]" dimensionUniqueName="[Users]" displayFolder="" count="0" memberValueDatatype="130" unbalanced="0"/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  <cacheHierarchy uniqueName="Dummy0" caption="User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2743865739" createdVersion="5" refreshedVersion="7" minRefreshableVersion="3" recordCount="0" supportSubquery="1" supportAdvancedDrill="1" xr:uid="{1285AA97-2CF8-46D0-86E5-C0BC202AAA2A}">
  <cacheSource type="external" connectionId="4"/>
  <cacheFields count="3">
    <cacheField name="[Campaigns].[Campaign Name].[Campaign Name]" caption="Campaign Name" numFmtId="0" hierarchy="12" level="1">
      <sharedItems count="6">
        <s v="Campaign A"/>
        <s v="Campaign B"/>
        <s v="Campaign C"/>
        <s v="Campaign D"/>
        <s v="Campaign E"/>
        <s v="Campaign F"/>
      </sharedItems>
    </cacheField>
    <cacheField name="[Measures].[Sum of PaymentMade (USD)]" caption="Sum of PaymentMade (USD)" numFmtId="0" hierarchy="29" level="32767"/>
    <cacheField name="[Activity].[aylar].[aylar]" caption="aylar" numFmtId="0" hierarchy="8" level="1">
      <sharedItems containsSemiMixedTypes="0" containsNonDate="0" containsDate="1" containsString="0" minDate="2023-05-01T00:00:00" maxDate="2023-07-02T00:00:00" count="3">
        <d v="2023-05-01T00:00:00"/>
        <d v="2023-06-01T00:00:00"/>
        <d v="2023-07-01T00:00:00"/>
      </sharedItems>
    </cacheField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2" memberValueDatatype="7" unbalanced="0">
      <fieldsUsage count="2">
        <fieldUsage x="-1"/>
        <fieldUsage x="2"/>
      </fieldsUsage>
    </cacheHierarchy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2" memberValueDatatype="130" unbalanced="0">
      <fieldsUsage count="2">
        <fieldUsage x="-1"/>
        <fieldUsage x="0"/>
      </fieldsUsage>
    </cacheHierarchy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aktivlik qrupu]" caption="aktivlik qrupu" attribute="1" defaultMemberUniqueName="[Users].[aktivlik qrupu].[All]" allUniqueName="[Users].[aktivlik qrupu].[All]" dimensionUniqueName="[Users]" displayFolder="" count="0" memberValueDatatype="130" unbalanced="0"/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2745949071" createdVersion="5" refreshedVersion="7" minRefreshableVersion="3" recordCount="0" supportSubquery="1" supportAdvancedDrill="1" xr:uid="{20BFFB2B-04C4-4ECB-9CB1-5B3BA53108A7}">
  <cacheSource type="external" connectionId="4"/>
  <cacheFields count="2">
    <cacheField name="[Users].[aktivlik qrupu].[aktivlik qrupu]" caption="aktivlik qrupu" numFmtId="0" hierarchy="21" level="1">
      <sharedItems count="3">
        <s v="Aşağı"/>
        <s v="Orta"/>
        <s v="Yüksək"/>
      </sharedItems>
    </cacheField>
    <cacheField name="[Measures].[Count of User ID]" caption="Count of User ID" numFmtId="0" hierarchy="24" level="32767"/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0" memberValueDatatype="130" unbalanced="0"/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aktivlik qrupu]" caption="aktivlik qrupu" attribute="1" defaultMemberUniqueName="[Users].[aktivlik qrupu].[All]" allUniqueName="[Users].[aktivlik qrupu].[All]" dimensionUniqueName="[Users]" displayFolder="" count="2" memberValueDatatype="130" unbalanced="0">
      <fieldsUsage count="2">
        <fieldUsage x="-1"/>
        <fieldUsage x="0"/>
      </fieldsUsage>
    </cacheHierarchy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2747106479" createdVersion="5" refreshedVersion="7" minRefreshableVersion="3" recordCount="0" supportSubquery="1" supportAdvancedDrill="1" xr:uid="{A2C7EE18-CA40-4EB3-AD31-3B406E1E914B}">
  <cacheSource type="external" connectionId="4"/>
  <cacheFields count="3">
    <cacheField name="[Users].[Device].[Device]" caption="Device" numFmtId="0" hierarchy="19" level="1">
      <sharedItems count="2">
        <s v="Android"/>
        <s v="iOS"/>
      </sharedItems>
    </cacheField>
    <cacheField name="[Measures].[istifadeci sayi]" caption="istifadeci sayi" numFmtId="0" hierarchy="33" level="32767"/>
    <cacheField name="[Users].[aktivlik qrupu].[aktivlik qrupu]" caption="aktivlik qrupu" numFmtId="0" hierarchy="21" level="1">
      <sharedItems count="3">
        <s v="Aşağı"/>
        <s v="Orta"/>
        <s v="Yüksək"/>
      </sharedItems>
    </cacheField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0" memberValueDatatype="130" unbalanced="0"/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2" memberValueDatatype="130" unbalanced="0">
      <fieldsUsage count="2">
        <fieldUsage x="-1"/>
        <fieldUsage x="0"/>
      </fieldsUsage>
    </cacheHierarchy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aktivlik qrupu]" caption="aktivlik qrupu" attribute="1" defaultMemberUniqueName="[Users].[aktivlik qrupu].[All]" allUniqueName="[Users].[aktivlik qrupu].[All]" dimensionUniqueName="[Users]" displayFolder="" count="2" memberValueDatatype="130" unbalanced="0">
      <fieldsUsage count="2">
        <fieldUsage x="-1"/>
        <fieldUsage x="2"/>
      </fieldsUsage>
    </cacheHierarchy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 oneField="1">
      <fieldsUsage count="1">
        <fieldUsage x="1"/>
      </fieldsUsage>
    </cacheHierarchy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2748148149" createdVersion="5" refreshedVersion="7" minRefreshableVersion="3" recordCount="0" supportSubquery="1" supportAdvancedDrill="1" xr:uid="{1C6AAE99-17DE-43E6-AC6E-DD8AAFBF2D0E}">
  <cacheSource type="external" connectionId="4"/>
  <cacheFields count="4">
    <cacheField name="[Activity].[User ID].[User ID]" caption="User ID" numFmtId="0" level="1">
      <sharedItems count="11">
        <s v="U0007"/>
        <s v="U0015"/>
        <s v="U0019"/>
        <s v="U0022"/>
        <s v="U0031"/>
        <s v="U0056"/>
        <s v="U0095"/>
        <s v="U0101"/>
        <s v="U0102"/>
        <s v="U0161"/>
        <s v="U0164"/>
      </sharedItems>
    </cacheField>
    <cacheField name="[Activity].[ayliq aktiv sayi].[ayliq aktiv sayi]" caption="ayliq aktiv sayi" numFmtId="0" hierarchy="7" level="1">
      <sharedItems containsSemiMixedTypes="0" containsNonDate="0" containsString="0"/>
    </cacheField>
    <cacheField name="[Measures].[Sum of PaymentMade (USD)]" caption="Sum of PaymentMade (USD)" numFmtId="0" hierarchy="29" level="32767"/>
    <cacheField name="[Measures].[Sum of Usage Duration (min)]" caption="Sum of Usage Duration (min)" numFmtId="0" hierarchy="30" level="32767"/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2" memberValueDatatype="130" unbalanced="0">
      <fieldsUsage count="2">
        <fieldUsage x="-1"/>
        <fieldUsage x="0"/>
      </fieldsUsage>
    </cacheHierarchy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2" memberValueDatatype="20" unbalanced="0">
      <fieldsUsage count="2">
        <fieldUsage x="-1"/>
        <fieldUsage x="1"/>
      </fieldsUsage>
    </cacheHierarchy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0" memberValueDatatype="130" unbalanced="0"/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aktivlik qrupu]" caption="aktivlik qrupu" attribute="1" defaultMemberUniqueName="[Users].[aktivlik qrupu].[All]" allUniqueName="[Users].[aktivlik qrupu].[All]" dimensionUniqueName="[Users]" displayFolder="" count="0" memberValueDatatype="130" unbalanced="0"/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2748958334" createdVersion="5" refreshedVersion="7" minRefreshableVersion="3" recordCount="0" supportSubquery="1" supportAdvancedDrill="1" xr:uid="{DF649C5D-5982-4355-B630-0BC32B9FAD30}">
  <cacheSource type="external" connectionId="4"/>
  <cacheFields count="1">
    <cacheField name="[Measures].[umumi gelir]" caption="umumi gelir" numFmtId="0" hierarchy="34" level="32767"/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0" memberValueDatatype="130" unbalanced="0"/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aktivlik qrupu]" caption="aktivlik qrupu" attribute="1" defaultMemberUniqueName="[Users].[aktivlik qrupu].[All]" allUniqueName="[Users].[aktivlik qrupu].[All]" dimensionUniqueName="[Users]" displayFolder="" count="0" memberValueDatatype="130" unbalanced="0"/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 oneField="1">
      <fieldsUsage count="1">
        <fieldUsage x="0"/>
      </fieldsUsage>
    </cacheHierarchy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2749884258" createdVersion="5" refreshedVersion="7" minRefreshableVersion="3" recordCount="0" supportSubquery="1" supportAdvancedDrill="1" xr:uid="{89A8BA27-0A6B-42CB-8C81-B01200EAA958}">
  <cacheSource type="external" connectionId="4"/>
  <cacheFields count="1">
    <cacheField name="[Measures].[Ümumi vaxt]" caption="Ümumi vaxt" numFmtId="0" hierarchy="35" level="32767"/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0" memberValueDatatype="130" unbalanced="0"/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aktivlik qrupu]" caption="aktivlik qrupu" attribute="1" defaultMemberUniqueName="[Users].[aktivlik qrupu].[All]" allUniqueName="[Users].[aktivlik qrupu].[All]" dimensionUniqueName="[Users]" displayFolder="" count="0" memberValueDatatype="130" unbalanced="0"/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 oneField="1">
      <fieldsUsage count="1">
        <fieldUsage x="0"/>
      </fieldsUsage>
    </cacheHierarchy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4629861109" createdVersion="5" refreshedVersion="7" minRefreshableVersion="3" recordCount="0" supportSubquery="1" supportAdvancedDrill="1" xr:uid="{E2D002E6-ED53-4318-A1CE-71E990E448E8}">
  <cacheSource type="external" connectionId="4"/>
  <cacheFields count="3">
    <cacheField name="[Users].[Region].[Region]" caption="Region" numFmtId="0" hierarchy="20" level="1">
      <sharedItems count="5">
        <s v="Africa"/>
        <s v="Asia"/>
        <s v="Europe"/>
        <s v="North America"/>
        <s v="South America"/>
      </sharedItems>
    </cacheField>
    <cacheField name="[Campaigns].[Campaign Name].[Campaign Name]" caption="Campaign Name" numFmtId="0" hierarchy="12" level="1">
      <sharedItems count="6">
        <s v="Campaign A"/>
        <s v="Campaign B"/>
        <s v="Campaign C"/>
        <s v="Campaign D"/>
        <s v="Campaign E"/>
        <s v="Campaign F"/>
      </sharedItems>
    </cacheField>
    <cacheField name="[Measures].[Distinct Count of User ID]" caption="Distinct Count of User ID" numFmtId="0" hierarchy="27" level="32767"/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2" memberValueDatatype="130" unbalanced="0">
      <fieldsUsage count="2">
        <fieldUsage x="-1"/>
        <fieldUsage x="1"/>
      </fieldsUsage>
    </cacheHierarchy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2" memberValueDatatype="130" unbalanced="0">
      <fieldsUsage count="2">
        <fieldUsage x="-1"/>
        <fieldUsage x="0"/>
      </fieldsUsage>
    </cacheHierarchy>
    <cacheHierarchy uniqueName="[Users].[aktivlik qrupu]" caption="aktivlik qrupu" attribute="1" defaultMemberUniqueName="[Users].[aktivlik qrupu].[All]" allUniqueName="[Users].[aktivlik qrupu].[All]" dimensionUniqueName="[Users]" displayFolder="" count="0" memberValueDatatype="130" unbalanced="0"/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8463078707" createdVersion="5" refreshedVersion="7" minRefreshableVersion="3" recordCount="0" supportSubquery="1" supportAdvancedDrill="1" xr:uid="{BFBBD0A1-28C2-4CE9-89FA-8EC19D2E1D8F}">
  <cacheSource type="external" connectionId="4"/>
  <cacheFields count="2">
    <cacheField name="[Users].[Region].[Region]" caption="Region" numFmtId="0" hierarchy="20" level="1">
      <sharedItems count="5">
        <s v="Africa"/>
        <s v="Asia"/>
        <s v="Europe"/>
        <s v="North America"/>
        <s v="South America"/>
      </sharedItems>
    </cacheField>
    <cacheField name="[Measures].[Sum of PaymentMade (USD)]" caption="Sum of PaymentMade (USD)" numFmtId="0" hierarchy="29" level="32767"/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0" memberValueDatatype="130" unbalanced="0"/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2" memberValueDatatype="130" unbalanced="0">
      <fieldsUsage count="2">
        <fieldUsage x="-1"/>
        <fieldUsage x="0"/>
      </fieldsUsage>
    </cacheHierarchy>
    <cacheHierarchy uniqueName="[Users].[aktivlik qrupu]" caption="aktivlik qrupu" attribute="1" defaultMemberUniqueName="[Users].[aktivlik qrupu].[All]" allUniqueName="[Users].[aktivlik qrupu].[All]" dimensionUniqueName="[Users]" displayFolder="" count="0" memberValueDatatype="130" unbalanced="0"/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0.709932754631" createdVersion="5" refreshedVersion="7" minRefreshableVersion="3" recordCount="0" supportSubquery="1" supportAdvancedDrill="1" xr:uid="{CBF7DA72-654B-4FF4-B05F-CBF9A57E1320}">
  <cacheSource type="external" connectionId="4"/>
  <cacheFields count="3">
    <cacheField name="[Campaigns].[Campaign Name].[Campaign Name]" caption="Campaign Name" numFmtId="0" hierarchy="12" level="1">
      <sharedItems count="6">
        <s v="Campaign A"/>
        <s v="Campaign B"/>
        <s v="Campaign C"/>
        <s v="Campaign D"/>
        <s v="Campaign E"/>
        <s v="Campaign F"/>
      </sharedItems>
    </cacheField>
    <cacheField name="[Campaigns].[Price].[Price]" caption="Price" numFmtId="0" hierarchy="15" level="1">
      <sharedItems containsSemiMixedTypes="0" containsString="0" containsNumber="1" containsInteger="1" minValue="5" maxValue="19" count="6">
        <n v="5"/>
        <n v="7"/>
        <n v="18"/>
        <n v="9"/>
        <n v="1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Campaigns].[Price].&amp;[5]"/>
            <x15:cachedUniqueName index="1" name="[Campaigns].[Price].&amp;[7]"/>
            <x15:cachedUniqueName index="2" name="[Campaigns].[Price].&amp;[18]"/>
            <x15:cachedUniqueName index="3" name="[Campaigns].[Price].&amp;[9]"/>
            <x15:cachedUniqueName index="4" name="[Campaigns].[Price].&amp;[19]"/>
            <x15:cachedUniqueName index="5" name="[Campaigns].[Price].&amp;[10]"/>
          </x15:cachedUniqueNames>
        </ext>
      </extLst>
    </cacheField>
    <cacheField name="[Measures].[%]" caption="%" numFmtId="0" hierarchy="38" level="32767"/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0" memberValueDatatype="130" unbalanced="0"/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2" memberValueDatatype="130" unbalanced="0">
      <fieldsUsage count="2">
        <fieldUsage x="-1"/>
        <fieldUsage x="0"/>
      </fieldsUsage>
    </cacheHierarchy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2" memberValueDatatype="20" unbalanced="0">
      <fieldsUsage count="2">
        <fieldUsage x="-1"/>
        <fieldUsage x="1"/>
      </fieldsUsage>
    </cacheHierarchy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aktivlik qrupu]" caption="aktivlik qrupu" attribute="1" defaultMemberUniqueName="[Users].[aktivlik qrupu].[All]" allUniqueName="[Users].[aktivlik qrupu].[All]" dimensionUniqueName="[Users]" displayFolder="" count="0" memberValueDatatype="130" unbalanced="0"/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 oneField="1">
      <fieldsUsage count="1">
        <fieldUsage x="2"/>
      </fieldsUsage>
    </cacheHierarchy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9.419590162041" createdVersion="5" refreshedVersion="7" minRefreshableVersion="3" recordCount="0" supportSubquery="1" supportAdvancedDrill="1" xr:uid="{93770D1D-36C8-4372-84E1-8C974D002E38}">
  <cacheSource type="external" connectionId="4"/>
  <cacheFields count="3">
    <cacheField name="[Activity].[Campaign Name].[Campaign Name]" caption="Campaign Name" numFmtId="0" hierarchy="1" level="1">
      <sharedItems count="6">
        <s v="Campaign A"/>
        <s v="Campaign B"/>
        <s v="Campaign C"/>
        <s v="Campaign D"/>
        <s v="Campaign E"/>
        <s v="Campaign F"/>
      </sharedItems>
    </cacheField>
    <cacheField name="[Measures].[Sum of PaymentMade (USD)]" caption="Sum of PaymentMade (USD)" numFmtId="0" hierarchy="29" level="32767"/>
    <cacheField name="[Measures].[Distinct Count of User ID]" caption="Distinct Count of User ID" numFmtId="0" hierarchy="27" level="32767"/>
  </cacheFields>
  <cacheHierarchies count="43">
    <cacheHierarchy uniqueName="[Activity].[User ID]" caption="User ID" attribute="1" defaultMemberUniqueName="[Activity].[User ID].[All]" allUniqueName="[Activity].[User ID].[All]" dimensionUniqueName="[Activity]" displayFolder="" count="0" memberValueDatatype="130" unbalanced="0"/>
    <cacheHierarchy uniqueName="[Activity].[Campaign Name]" caption="Campaign Name" attribute="1" defaultMemberUniqueName="[Activity].[Campaign Name].[All]" allUniqueName="[Activity].[Campaign Name].[All]" dimensionUniqueName="[Activity]" displayFolder="" count="2" memberValueDatatype="130" unbalanced="0">
      <fieldsUsage count="2">
        <fieldUsage x="-1"/>
        <fieldUsage x="0"/>
      </fieldsUsage>
    </cacheHierarchy>
    <cacheHierarchy uniqueName="[Activity].[Activity Date]" caption="Activity Date" attribute="1" time="1" defaultMemberUniqueName="[Activity].[Activity Date].[All]" allUniqueName="[Activity].[Activity Date].[All]" dimensionUniqueName="[Activity]" displayFolder="" count="0" memberValueDatatype="7" unbalanced="0"/>
    <cacheHierarchy uniqueName="[Activity].[Usage Duration (min)]" caption="Usage Duration (min)" attribute="1" defaultMemberUniqueName="[Activity].[Usage Duration (min)].[All]" allUniqueName="[Activity].[Usage Duration (min)].[All]" dimensionUniqueName="[Activity]" displayFolder="" count="0" memberValueDatatype="20" unbalanced="0"/>
    <cacheHierarchy uniqueName="[Activity].[Paid]" caption="Paid" attribute="1" defaultMemberUniqueName="[Activity].[Paid].[All]" allUniqueName="[Activity].[Paid].[All]" dimensionUniqueName="[Activity]" displayFolder="" count="0" memberValueDatatype="11" unbalanced="0"/>
    <cacheHierarchy uniqueName="[Activity].[PaymentMade (USD)]" caption="PaymentMade (USD)" attribute="1" defaultMemberUniqueName="[Activity].[PaymentMade (USD)].[All]" allUniqueName="[Activity].[PaymentMade (USD)].[All]" dimensionUniqueName="[Activity]" displayFolder="" count="0" memberValueDatatype="20" unbalanced="0"/>
    <cacheHierarchy uniqueName="[Activity].[aktiv ay]" caption="aktiv ay" attribute="1" defaultMemberUniqueName="[Activity].[aktiv ay].[All]" allUniqueName="[Activity].[aktiv ay].[All]" dimensionUniqueName="[Activity]" displayFolder="" count="0" memberValueDatatype="130" unbalanced="0"/>
    <cacheHierarchy uniqueName="[Activity].[ayliq aktiv sayi]" caption="ayliq aktiv sayi" attribute="1" defaultMemberUniqueName="[Activity].[ayliq aktiv sayi].[All]" allUniqueName="[Activity].[ayliq aktiv sayi].[All]" dimensionUniqueName="[Activity]" displayFolder="" count="0" memberValueDatatype="20" unbalanced="0"/>
    <cacheHierarchy uniqueName="[Activity].[aylar]" caption="aylar" attribute="1" time="1" defaultMemberUniqueName="[Activity].[aylar].[All]" allUniqueName="[Activity].[aylar].[All]" dimensionUniqueName="[Activity]" displayFolder="" count="0" memberValueDatatype="7" unbalanced="0"/>
    <cacheHierarchy uniqueName="[Activity].[aylar (Year)]" caption="aylar (Year)" attribute="1" defaultMemberUniqueName="[Activity].[aylar (Year)].[All]" allUniqueName="[Activity].[aylar (Year)].[All]" dimensionUniqueName="[Activity]" displayFolder="" count="0" memberValueDatatype="130" unbalanced="0"/>
    <cacheHierarchy uniqueName="[Activity].[aylar (Quarter)]" caption="aylar (Quarter)" attribute="1" defaultMemberUniqueName="[Activity].[aylar (Quarter)].[All]" allUniqueName="[Activity].[aylar (Quarter)].[All]" dimensionUniqueName="[Activity]" displayFolder="" count="0" memberValueDatatype="130" unbalanced="0"/>
    <cacheHierarchy uniqueName="[Activity].[aylar (Month)]" caption="aylar (Month)" attribute="1" defaultMemberUniqueName="[Activity].[aylar (Month)].[All]" allUniqueName="[Activity].[aylar (Month)].[All]" dimensionUniqueName="[Activity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0" memberValueDatatype="130" unbalanced="0"/>
    <cacheHierarchy uniqueName="[Campaigns].[Start Date]" caption="Start Date" attribute="1" time="1" defaultMemberUniqueName="[Campaigns].[Start Date].[All]" allUniqueName="[Campaigns].[Start Date].[All]" dimensionUniqueName="[Campaigns]" displayFolder="" count="0" memberValueDatatype="7" unbalanced="0"/>
    <cacheHierarchy uniqueName="[Campaigns].[End Date]" caption="End Date" attribute="1" time="1" defaultMemberUniqueName="[Campaigns].[End Date].[All]" allUniqueName="[Campaigns].[End Date].[All]" dimensionUniqueName="[Campaigns]" displayFolder="" count="0" memberValueDatatype="7" unbalanced="0"/>
    <cacheHierarchy uniqueName="[Campaigns].[Price]" caption="Price" attribute="1" defaultMemberUniqueName="[Campaigns].[Price].[All]" allUniqueName="[Campaigns].[Price].[All]" dimensionUniqueName="[Campaigns]" displayFolder="" count="0" memberValueDatatype="20" unbalanced="0"/>
    <cacheHierarchy uniqueName="[Users].[User ID]" caption="User ID" attribute="1" defaultMemberUniqueName="[Users].[User ID].[All]" allUniqueName="[Users].[User ID].[All]" dimensionUniqueName="[Users]" displayFolder="" count="0" memberValueDatatype="130" unbalanced="0"/>
    <cacheHierarchy uniqueName="[Users].[Registration Date]" caption="Registration Date" attribute="1" time="1" defaultMemberUniqueName="[Users].[Registration Date].[All]" allUniqueName="[Users].[Registration Date].[All]" dimensionUniqueName="[Users]" displayFolder="" count="0" memberValueDatatype="7" unbalanced="0"/>
    <cacheHierarchy uniqueName="[Users].[Age Group]" caption="Age Group" attribute="1" defaultMemberUniqueName="[Users].[Age Group].[All]" allUniqueName="[Users].[Age Group].[All]" dimensionUniqueName="[Users]" displayFolder="" count="0" memberValueDatatype="130" unbalanced="0"/>
    <cacheHierarchy uniqueName="[Users].[Device]" caption="Device" attribute="1" defaultMemberUniqueName="[Users].[Device].[All]" allUniqueName="[Users].[Device].[All]" dimensionUniqueName="[User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aktivlik qrupu]" caption="aktivlik qrupu" attribute="1" defaultMemberUniqueName="[Users].[aktivlik qrupu].[All]" allUniqueName="[Users].[aktivlik qrupu].[All]" dimensionUniqueName="[Users]" displayFolder="" count="0" memberValueDatatype="130" unbalanced="0"/>
    <cacheHierarchy uniqueName="[Activity].[aylar (Month Index)]" caption="aylar (Month Index)" attribute="1" defaultMemberUniqueName="[Activity].[aylar (Month Index)].[All]" allUniqueName="[Activity].[aylar (Month Index)].[All]" dimensionUniqueName="[Activity]" displayFolder="" count="0" memberValueDatatype="20" unbalanced="0" hidden="1"/>
    <cacheHierarchy uniqueName="[Measures].[Count of aktivlik qrupu]" caption="Count of aktivlik qrupu" measure="1" displayFolder="" measureGroup="User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ser ID]" caption="Count of User ID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Activity Date]" caption="Count of Activity Date" measure="1" displayFolder="" measureGroup="Activit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 2]" caption="Count of User ID 2" measure="1" displayFolder="" measureGroup="Activit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 ID]" caption="Distinct Count of User ID" measure="1" displayFolder="" measureGroup="Activit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yliq aktiv sayi]" caption="Sum of ayliq aktiv sayi" measure="1" displayFolder="" measureGroup="Activit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aymentMade (USD)]" caption="Sum of PaymentMade (USD)" measure="1" displayFolder="" measureGroup="Activit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sage Duration (min)]" caption="Sum of Usage Duration (min)" measure="1" displayFolder="" measureGroup="Activity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User ID 2]" caption="Distinct Count of User ID 2" measure="1" displayFolder="" measureGroup="Users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aid]" caption="Count of Paid" measure="1" displayFolder="" measureGroup="Activity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istifadeci sayi]" caption="istifadeci sayi" measure="1" displayFolder="" measureGroup="Activity" count="0"/>
    <cacheHierarchy uniqueName="[Measures].[umumi gelir]" caption="umumi gelir" measure="1" displayFolder="" measureGroup="Activity" count="0"/>
    <cacheHierarchy uniqueName="[Measures].[Ümumi vaxt]" caption="Ümumi vaxt" measure="1" displayFolder="" measureGroup="Activity" count="0"/>
    <cacheHierarchy uniqueName="[Measures].[Ümumi istifadəçi]" caption="Ümumi istifadəçi" measure="1" displayFolder="" measureGroup="Activity" count="0"/>
    <cacheHierarchy uniqueName="[Measures].[Ödəniş edənlər]" caption="Ödəniş edənlər" measure="1" displayFolder="" measureGroup="Activity" count="0"/>
    <cacheHierarchy uniqueName="[Measures].[%]" caption="%" measure="1" displayFolder="" measureGroup="Activity" count="0"/>
    <cacheHierarchy uniqueName="[Measures].[__XL_Count Activity]" caption="__XL_Count Activity" measure="1" displayFolder="" measureGroup="Activity" count="0" hidden="1"/>
    <cacheHierarchy uniqueName="[Measures].[__XL_Count Campaigns]" caption="__XL_Count Campaigns" measure="1" displayFolder="" measureGroup="Campaig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</cacheHierarchies>
  <kpis count="0"/>
  <dimensions count="4">
    <dimension name="Activity" uniqueName="[Activity]" caption="Activity"/>
    <dimension name="Campaigns" uniqueName="[Campaigns]" caption="Campaigns"/>
    <dimension measure="1" name="Measures" uniqueName="[Measures]" caption="Measures"/>
    <dimension name="Users" uniqueName="[Users]" caption="Users"/>
  </dimensions>
  <measureGroups count="3">
    <measureGroup name="Activity" caption="Activity"/>
    <measureGroup name="Campaigns" caption="Campaigns"/>
    <measureGroup name="Users" caption="Users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7722E-F721-4FE9-8EAC-2B30749BAF49}" name="PivotTable3" cacheId="7" applyNumberFormats="0" applyBorderFormats="0" applyFontFormats="0" applyPatternFormats="0" applyAlignmentFormats="0" applyWidthHeightFormats="1" dataCaption="Values" tag="50ff5dfe-a63c-4196-a2a8-0307213dfc73" updatedVersion="7" minRefreshableVersion="3" useAutoFormatting="1" itemPrintTitles="1" createdVersion="5" indent="0" outline="1" outlineData="1" multipleFieldFilters="0">
  <location ref="D50:D5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8">
    <format dxfId="129">
      <pivotArea type="all" dataOnly="0" outline="0" fieldPosition="0"/>
    </format>
    <format dxfId="128">
      <pivotArea type="all" dataOnly="0" outline="0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dataOnly="0" labelOnly="1" outline="0" axis="axisValues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dataOnly="0" labelOnly="1" outline="0" axis="axisValues" fieldPosition="0"/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D305B-6AAB-49A0-91D5-C4600E8B8067}" name="PivotTable2" cacheId="6" applyNumberFormats="0" applyBorderFormats="0" applyFontFormats="0" applyPatternFormats="0" applyAlignmentFormats="0" applyWidthHeightFormats="1" dataCaption="Values" tag="30a669ed-42dc-4061-be76-64ff77f5e809" updatedVersion="7" minRefreshableVersion="3" useAutoFormatting="1" itemPrintTitles="1" createdVersion="5" indent="0" outline="1" outlineData="1" multipleFieldFilters="0">
  <location ref="C50:C5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Ümumi gelir" fld="0" subtotal="count" baseField="0" baseItem="2"/>
  </dataFields>
  <formats count="8">
    <format dxfId="137">
      <pivotArea type="all" dataOnly="0" outline="0" fieldPosition="0"/>
    </format>
    <format dxfId="136">
      <pivotArea type="all" dataOnly="0" outline="0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dataOnly="0" labelOnly="1" outline="0" axis="axisValues" fieldPosition="0"/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Ümumi geli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AEDAC-7444-4D63-B855-ACD97375BBA4}" name="PivotTable7" cacheId="5" applyNumberFormats="0" applyBorderFormats="0" applyFontFormats="0" applyPatternFormats="0" applyAlignmentFormats="0" applyWidthHeightFormats="1" dataCaption="Values" grandTotalCaption="Ümumi" tag="79ee8e52-4bb6-4ba1-be00-4a96eb6d26d3" updatedVersion="7" minRefreshableVersion="3" showDrill="0" useAutoFormatting="1" subtotalHiddenItems="1" itemPrintTitles="1" createdVersion="5" indent="0" showHeaders="0" outline="1" outlineData="1" multipleFieldFilters="0" chartFormat="8">
  <location ref="C36:E48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Aylıq aktiv sayı"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7" name="[Activity].[ayliq aktiv sayi].&amp;[3]" cap="3"/>
  </pageFields>
  <dataFields count="2">
    <dataField name="PaymentMade (USD)" fld="2" baseField="0" baseItem="0" numFmtId="165"/>
    <dataField name="Usage Duration (min)" fld="3" baseField="0" baseItem="0"/>
  </dataFields>
  <formats count="29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0" type="button" dataOnly="0" labelOnly="1" outline="0" axis="axisRow" fieldPosition="0"/>
    </format>
    <format dxfId="148">
      <pivotArea dataOnly="0" labelOnly="1" fieldPosition="0">
        <references count="1">
          <reference field="0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5">
      <pivotArea field="1" type="button" dataOnly="0" labelOnly="1" outline="0" axis="axisPage" fieldPosition="0"/>
    </format>
    <format dxfId="144">
      <pivotArea dataOnly="0" labelOnly="1" outline="0" fieldPosition="0">
        <references count="1">
          <reference field="1" count="0"/>
        </references>
      </pivotArea>
    </format>
    <format dxfId="143">
      <pivotArea outline="0" fieldPosition="0">
        <references count="1">
          <reference field="4294967294" count="1">
            <x v="0"/>
          </reference>
        </references>
      </pivotArea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dataOnly="0" labelOnly="1" fieldPosition="0">
        <references count="1">
          <reference field="0" count="0"/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9">
      <pivotArea field="1" type="button" dataOnly="0" labelOnly="1" outline="0" axis="axisPage" fieldPosition="0"/>
    </format>
    <format dxfId="78">
      <pivotArea field="1" type="button" dataOnly="0" labelOnly="1" outline="0" axis="axisPage" fieldPosition="0"/>
    </format>
    <format dxfId="77">
      <pivotArea dataOnly="0" labelOnly="1" outline="0" fieldPosition="0">
        <references count="1">
          <reference field="1" count="0"/>
        </references>
      </pivotArea>
    </format>
    <format dxfId="76">
      <pivotArea outline="0" collapsedLevelsAreSubtotals="1" fieldPosition="0"/>
    </format>
    <format dxfId="75">
      <pivotArea dataOnly="0" labelOnly="1" fieldPosition="0">
        <references count="1">
          <reference field="0" count="0"/>
        </references>
      </pivotArea>
    </format>
    <format dxfId="74">
      <pivotArea dataOnly="0" labelOnly="1" grandRow="1" outline="0" fieldPosition="0"/>
    </format>
    <format dxfId="73">
      <pivotArea outline="0" collapsedLevelsAreSubtotals="1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ctivity].[ayliq aktiv sayi].&amp;[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aymentMade (USD)"/>
    <pivotHierarchy dragToData="1" caption="Usage Duration (min)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EEFDD-ED9D-4266-A5CC-1D63B53E89D7}" name="PivotTable4" cacheId="4" applyNumberFormats="0" applyBorderFormats="0" applyFontFormats="0" applyPatternFormats="0" applyAlignmentFormats="0" applyWidthHeightFormats="1" dataCaption="Values" tag="9eaf28f5-30bf-4829-a44a-bd433772f750" updatedVersion="7" minRefreshableVersion="3" useAutoFormatting="1" subtotalHiddenItems="1" rowGrandTotals="0" itemPrintTitles="1" createdVersion="5" indent="0" outline="1" outlineData="1" multipleFieldFilters="0" rowHeaderCaption="Cihaz Növü">
  <location ref="C22:D30" firstHeaderRow="1" firstDataRow="1" firstDataCol="1"/>
  <pivotFields count="3">
    <pivotField axis="axisRow" allDrilled="1" showAll="0" dataSourceSort="1" defaultAttributeDrillState="1">
      <items count="3">
        <item s="1" x="0"/>
        <item s="1" x="1"/>
        <item t="default"/>
      </items>
    </pivotField>
    <pivotField dataField="1" showAll="0" defaultSubtotal="0"/>
    <pivotField axis="axisRow" allDrilled="1" showAll="0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2"/>
  </rowFields>
  <rowItems count="8">
    <i>
      <x/>
    </i>
    <i r="1">
      <x v="1"/>
    </i>
    <i r="1">
      <x/>
    </i>
    <i r="1">
      <x v="2"/>
    </i>
    <i>
      <x v="1"/>
    </i>
    <i r="1">
      <x v="1"/>
    </i>
    <i r="1">
      <x v="2"/>
    </i>
    <i r="1">
      <x/>
    </i>
  </rowItems>
  <colItems count="1">
    <i/>
  </colItems>
  <dataFields count="1">
    <dataField name="İstifadəçi sayı" fld="1" subtotal="count" baseField="0" baseItem="0"/>
  </dataFields>
  <formats count="31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0" type="button" dataOnly="0" labelOnly="1" outline="0" axis="axisRow" fieldPosition="0"/>
    </format>
    <format dxfId="178">
      <pivotArea dataOnly="0" labelOnly="1" fieldPosition="0">
        <references count="1">
          <reference field="0" count="0"/>
        </references>
      </pivotArea>
    </format>
    <format dxfId="177">
      <pivotArea dataOnly="0" labelOnly="1" fieldPosition="0">
        <references count="1">
          <reference field="0" count="0" defaultSubtotal="1"/>
        </references>
      </pivotArea>
    </format>
    <format dxfId="176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75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0" type="button" dataOnly="0" labelOnly="1" outline="0" axis="axisRow" fieldPosition="0"/>
    </format>
    <format dxfId="170">
      <pivotArea dataOnly="0" labelOnly="1" fieldPosition="0">
        <references count="1">
          <reference field="0" count="0"/>
        </references>
      </pivotArea>
    </format>
    <format dxfId="169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67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0" type="button" dataOnly="0" labelOnly="1" outline="0" axis="axisRow" fieldPosition="0"/>
    </format>
    <format dxfId="162">
      <pivotArea dataOnly="0" labelOnly="1" fieldPosition="0">
        <references count="1">
          <reference field="0" count="0"/>
        </references>
      </pivotArea>
    </format>
    <format dxfId="161">
      <pivotArea dataOnly="0" labelOnly="1" fieldPosition="0">
        <references count="1">
          <reference field="0" count="0" defaultSubtotal="1"/>
        </references>
      </pivotArea>
    </format>
    <format dxfId="160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59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158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0" type="button" dataOnly="0" labelOnly="1" outline="0" axis="axisRow" fieldPosition="0"/>
    </format>
    <format dxfId="67">
      <pivotArea dataOnly="0" labelOnly="1" fieldPosition="0">
        <references count="1">
          <reference field="0" count="0"/>
        </references>
      </pivotArea>
    </format>
    <format dxfId="66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65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64">
      <pivotArea dataOnly="0" labelOnly="1" outline="0" axis="axisValues" fieldPosition="0"/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İstifadəçi sayı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]"/>
        <x15:activeTabTopLevelEntity name="[Activity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82FDC-953F-48CD-A233-EA1E48A0229F}" name="PivotTable1" cacheId="3" applyNumberFormats="0" applyBorderFormats="0" applyFontFormats="0" applyPatternFormats="0" applyAlignmentFormats="0" applyWidthHeightFormats="1" dataCaption="Values" grandTotalCaption="Ümumi" tag="c052f67c-b353-48b4-be1a-ee0dc2e2acb5" updatedVersion="7" minRefreshableVersion="3" useAutoFormatting="1" subtotalHiddenItems="1" itemPrintTitles="1" createdVersion="5" indent="0" outline="1" outlineData="1" multipleFieldFilters="0" rowHeaderCaption="Aktivlik Qrupu">
  <location ref="C8:D1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İstifadəçi sayı" fld="1" subtotal="count" baseField="0" baseItem="0"/>
  </dataFields>
  <formats count="30"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0" type="button" dataOnly="0" labelOnly="1" outline="0" axis="axisRow" fieldPosition="0"/>
    </format>
    <format dxfId="202">
      <pivotArea dataOnly="0" labelOnly="1" fieldPosition="0">
        <references count="1">
          <reference field="0" count="0"/>
        </references>
      </pivotArea>
    </format>
    <format dxfId="201">
      <pivotArea dataOnly="0" labelOnly="1" grandRow="1" outline="0" fieldPosition="0"/>
    </format>
    <format dxfId="200">
      <pivotArea dataOnly="0" labelOnly="1" outline="0" axis="axisValues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0" type="button" dataOnly="0" labelOnly="1" outline="0" axis="axisRow" fieldPosition="0"/>
    </format>
    <format dxfId="196">
      <pivotArea dataOnly="0" labelOnly="1" fieldPosition="0">
        <references count="1">
          <reference field="0" count="0"/>
        </references>
      </pivotArea>
    </format>
    <format dxfId="195">
      <pivotArea dataOnly="0" labelOnly="1" grandRow="1" outline="0" fieldPosition="0"/>
    </format>
    <format dxfId="194">
      <pivotArea dataOnly="0" labelOnly="1" outline="0" axis="axisValues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0" type="button" dataOnly="0" labelOnly="1" outline="0" axis="axisRow" fieldPosition="0"/>
    </format>
    <format dxfId="190">
      <pivotArea dataOnly="0" labelOnly="1" fieldPosition="0">
        <references count="1">
          <reference field="0" count="0"/>
        </references>
      </pivotArea>
    </format>
    <format dxfId="189">
      <pivotArea dataOnly="0" labelOnly="1" grandRow="1" outline="0" fieldPosition="0"/>
    </format>
    <format dxfId="188">
      <pivotArea dataOnly="0" labelOnly="1" outline="0" axis="axisValues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0" type="button" dataOnly="0" labelOnly="1" outline="0" axis="axisRow" fieldPosition="0"/>
    </format>
    <format dxfId="184">
      <pivotArea dataOnly="0" labelOnly="1" fieldPosition="0">
        <references count="1">
          <reference field="0" count="0"/>
        </references>
      </pivotArea>
    </format>
    <format dxfId="183">
      <pivotArea dataOnly="0" labelOnly="1" grandRow="1" outline="0" fieldPosition="0"/>
    </format>
    <format dxfId="182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İstifadəçi sayı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  <x15:activeTabTopLevelEntity name="[Us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DC73C-C756-446D-A43C-90CDA048E664}" name="PivotTable12" cacheId="10" applyNumberFormats="0" applyBorderFormats="0" applyFontFormats="0" applyPatternFormats="0" applyAlignmentFormats="0" applyWidthHeightFormats="1" dataCaption="Values" tag="79c0e514-100f-48ab-b859-07e6f45c5eb2" updatedVersion="7" minRefreshableVersion="3" useAutoFormatting="1" rowGrandTotals="0" colGrandTotals="0" itemPrintTitles="1" createdVersion="5" indent="0" compact="0" compactData="0" multipleFieldFilters="0">
  <location ref="B69:D75" firstHeaderRow="1" firstDataRow="1" firstDataCol="2"/>
  <pivotFields count="3">
    <pivotField name="Kampaniyalar"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name="Dəyər" axis="axisRow" compact="0" allDrilled="1" outline="0" subtotalTop="0" showAll="0" sortType="ascending" defaultSubtotal="0" defaultAttributeDrillState="1">
      <items count="6">
        <item x="0"/>
        <item x="1"/>
        <item x="3"/>
        <item x="5"/>
        <item x="2"/>
        <item x="4"/>
      </items>
    </pivotField>
    <pivotField dataField="1" compact="0" outline="0" subtotalTop="0" showAll="0" defaultSubtotal="0"/>
  </pivotFields>
  <rowFields count="2">
    <field x="0"/>
    <field x="1"/>
  </rowFields>
  <rowItems count="6">
    <i>
      <x/>
      <x/>
    </i>
    <i>
      <x v="1"/>
      <x v="1"/>
    </i>
    <i>
      <x v="2"/>
      <x v="4"/>
    </i>
    <i>
      <x v="3"/>
      <x v="2"/>
    </i>
    <i>
      <x v="4"/>
      <x v="5"/>
    </i>
    <i>
      <x v="5"/>
      <x v="3"/>
    </i>
  </rowItems>
  <colItems count="1">
    <i/>
  </colItems>
  <dataFields count="1">
    <dataField fld="2" subtotal="count" baseField="0" baseItem="0"/>
  </dataFields>
  <formats count="25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0" type="button" dataOnly="0" labelOnly="1" outline="0" axis="axisRow" fieldPosition="0"/>
    </format>
    <format dxfId="88">
      <pivotArea field="1" type="button" dataOnly="0" labelOnly="1" outline="0" axis="axisRow" fieldPosition="1"/>
    </format>
    <format dxfId="87">
      <pivotArea dataOnly="0" labelOnly="1" outline="0" fieldPosition="0">
        <references count="1">
          <reference field="0" count="0"/>
        </references>
      </pivotArea>
    </format>
    <format dxfId="86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4"/>
          </reference>
          <reference field="1" count="1">
            <x v="5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5"/>
          </reference>
          <reference field="1" count="1">
            <x v="3"/>
          </reference>
        </references>
      </pivotArea>
    </format>
    <format dxfId="80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field="1" type="button" dataOnly="0" labelOnly="1" outline="0" axis="axisRow" fieldPosition="1"/>
    </format>
    <format dxfId="37">
      <pivotArea dataOnly="0" labelOnly="1" outline="0" fieldPosition="0">
        <references count="1">
          <reference field="0" count="0"/>
        </references>
      </pivotArea>
    </format>
    <format dxfId="36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4"/>
          </reference>
          <reference field="1" count="1">
            <x v="5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5"/>
          </reference>
          <reference field="1" count="1">
            <x v="3"/>
          </reference>
        </references>
      </pivotArea>
    </format>
    <format dxfId="30">
      <pivotArea dataOnly="0" labelOnly="1" outline="0" axis="axisValues" fieldPosition="0"/>
    </format>
    <format dxfId="0">
      <pivotArea dataOnly="0" labelOnly="1" outline="0" axis="axisValues" fieldPosition="0"/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mpaigns]"/>
        <x15:activeTabTopLevelEntity name="[A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A640A-5EF4-426F-926D-CC3BF7C8C155}" name="PivotTable4" cacheId="0" applyNumberFormats="0" applyBorderFormats="0" applyFontFormats="0" applyPatternFormats="0" applyAlignmentFormats="0" applyWidthHeightFormats="1" dataCaption="Values" grandTotalCaption="Ümumi" tag="fba36ecd-2b8b-4091-abdb-c9ba75a43539" updatedVersion="7" minRefreshableVersion="3" showDrill="0" useAutoFormatting="1" itemPrintTitles="1" createdVersion="5" indent="0" outline="1" outlineData="1" multipleFieldFilters="0" rowHeaderCaption="Regionlar">
  <location ref="B4:D10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İstifadəçi sayı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%" fld="2" subtotal="count" showDataAs="percentOfCol" baseField="0" baseItem="0" numFmtId="10">
      <extLst>
        <ext xmlns:x14="http://schemas.microsoft.com/office/spreadsheetml/2009/9/main" uri="{E15A36E0-9728-4e99-A89B-3F7291B0FE68}">
          <x14:dataField sourceField="1" uniqueName="[__Xl2].[Measures].[Distinct Count of User ID]"/>
        </ext>
        <ext xmlns:x15="http://schemas.microsoft.com/office/spreadsheetml/2010/11/main" uri="{FABC7310-3BB5-11E1-824E-6D434824019B}">
          <x15:dataField isCountDistinct="1"/>
        </ext>
      </extLst>
    </dataField>
  </dataFields>
  <formats count="18"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axis="axisRow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%"/>
    <pivotHierarchy dragToData="1"/>
    <pivotHierarchy dragToData="1"/>
    <pivotHierarchy dragToData="1"/>
    <pivotHierarchy dragToData="1" caption="Distinct Count of User 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  <x15:activeTabTopLevelEntity name="[Us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9E941-2AB2-4C57-9722-C120C0A8A9D6}" name="PivotTable2" cacheId="13" applyNumberFormats="0" applyBorderFormats="0" applyFontFormats="0" applyPatternFormats="0" applyAlignmentFormats="0" applyWidthHeightFormats="1" dataCaption="Values" tag="123a964f-1914-42f5-b0dc-9362be83c0b6" updatedVersion="7" minRefreshableVersion="3" useAutoFormatting="1" subtotalHiddenItems="1" itemPrintTitles="1" createdVersion="5" indent="0" outline="1" outlineData="1" multipleFieldFilters="0" rowHeaderCaption="Kampaniyalar">
  <location ref="B57:D64" firstHeaderRow="0" firstDataRow="1" firstDataCol="1"/>
  <pivotFields count="3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 v="5"/>
    </i>
    <i>
      <x/>
    </i>
    <i>
      <x v="4"/>
    </i>
    <i>
      <x v="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Gəlir" fld="1" baseField="0" baseItem="0"/>
    <dataField name="İstifadəçi sayı" fld="2" subtotal="count" baseField="0" baseItem="5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6"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fieldPosition="0">
        <references count="1">
          <reference field="0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User ID"/>
    <pivotHierarchy dragToData="1" caption="İstifadəçi sayı"/>
    <pivotHierarchy dragToData="1"/>
    <pivotHierarchy dragToData="1" caption="Gəlir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4B2B0-A06F-4AA4-836D-4B6E72964A46}" name="PivotTable1" cacheId="1" applyNumberFormats="0" applyBorderFormats="0" applyFontFormats="0" applyPatternFormats="0" applyAlignmentFormats="0" applyWidthHeightFormats="1" dataCaption="Values" tag="826c8451-3070-46c7-92cc-6868759854df" updatedVersion="7" minRefreshableVersion="3" useAutoFormatting="1" subtotalHiddenItems="1" rowGrandTotals="0" colGrandTotals="0" itemPrintTitles="1" createdVersion="5" indent="0" showHeaders="0" outline="1" outlineData="1" multipleFieldFilters="0">
  <location ref="B44:E51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"/>
  </colFields>
  <colItems count="3">
    <i>
      <x/>
    </i>
    <i>
      <x v="1"/>
    </i>
    <i>
      <x v="2"/>
    </i>
  </colItems>
  <dataFields count="1">
    <dataField name=" " fld="1" baseField="0" baseItem="1"/>
  </dataFields>
  <formats count="11">
    <format dxfId="19">
      <pivotArea outline="0" collapsedLevelsAreSubtotals="1" fieldPosition="0"/>
    </format>
    <format dxfId="20">
      <pivotArea dataOnly="0" labelOnly="1" fieldPosition="0">
        <references count="1">
          <reference field="0" count="0"/>
        </references>
      </pivotArea>
    </format>
    <format dxfId="21">
      <pivotArea dataOnly="0" labelOnly="1" fieldPosition="0">
        <references count="1">
          <reference field="2" count="0"/>
        </references>
      </pivotArea>
    </format>
    <format dxfId="22">
      <pivotArea outline="0" collapsedLevelsAreSubtotals="1" fieldPosition="0"/>
    </format>
    <format dxfId="23">
      <pivotArea dataOnly="0" labelOnly="1" fieldPosition="0">
        <references count="1">
          <reference field="0" count="0"/>
        </references>
      </pivotArea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type="origin" dataOnly="0" labelOnly="1" outline="0" fieldPosition="0"/>
    </format>
    <format dxfId="27">
      <pivotArea type="topRight" dataOnly="0" labelOnly="1" outline="0" fieldPosition="0"/>
    </format>
    <format dxfId="28">
      <pivotArea dataOnly="0" labelOnly="1" fieldPosition="0">
        <references count="1">
          <reference field="0" count="0"/>
        </references>
      </pivotArea>
    </format>
    <format dxfId="29">
      <pivotArea dataOnly="0" labelOnly="1" fieldPosition="0">
        <references count="1">
          <reference field="2" count="0"/>
        </references>
      </pivotArea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mpaigns]"/>
        <x15:activeTabTopLevelEntity name="[A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9FEC4-450E-4115-9DB8-505E380770C9}" name="PivotTable3" cacheId="9" applyNumberFormats="0" applyBorderFormats="0" applyFontFormats="0" applyPatternFormats="0" applyAlignmentFormats="0" applyWidthHeightFormats="1" dataCaption="Values" grandTotalCaption="Ümumi Gəlir" tag="21fc502a-e7fc-48a7-bd6c-f676f1a89c85" updatedVersion="7" minRefreshableVersion="3" useAutoFormatting="1" itemPrintTitles="1" createdVersion="5" indent="0" outline="1" outlineData="1" multipleFieldFilters="0" rowHeaderCaption="Regionlar">
  <location ref="B34:C4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Gəlir" fld="1" baseField="0" baseItem="1" numFmtId="167"/>
  </dataFields>
  <formats count="12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 axis="axisRow" fieldPosition="0"/>
    </format>
    <format dxfId="106">
      <pivotArea dataOnly="0" labelOnly="1" fieldPosition="0">
        <references count="1">
          <reference field="0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Gəlir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]"/>
        <x15:activeTabTopLevelEntity name="[A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3334A-54DE-4FEA-B988-588C5A896B0A}" name="PivotTable5" cacheId="8" applyNumberFormats="0" applyBorderFormats="0" applyFontFormats="0" applyPatternFormats="0" applyAlignmentFormats="0" applyWidthHeightFormats="1" dataCaption="Values" tag="755d7507-c0a1-4fde-8f60-19e35d1adf82" updatedVersion="7" minRefreshableVersion="3" showDrill="0" useAutoFormatting="1" rowGrandTotals="0" colGrandTotals="0" itemPrintTitles="1" createdVersion="5" indent="0" showHeaders="0" outline="1" outlineData="1" multipleFieldFilters="0" colHeaderCaption=" ">
  <location ref="B14:H2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Kampaniya adları"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 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8">
    <format dxfId="121">
      <pivotArea type="all" dataOnly="0" outline="0" fieldPosition="0"/>
    </format>
    <format dxfId="120">
      <pivotArea outline="0" collapsedLevelsAreSubtotals="1" fieldPosition="0"/>
    </format>
    <format dxfId="119">
      <pivotArea type="origin" dataOnly="0" labelOnly="1" outline="0" fieldPosition="0"/>
    </format>
    <format dxfId="118">
      <pivotArea type="topRight" dataOnly="0" labelOnly="1" outline="0" fieldPosition="0"/>
    </format>
    <format dxfId="117">
      <pivotArea dataOnly="0" labelOnly="1" fieldPosition="0">
        <references count="1">
          <reference field="0" count="0"/>
        </references>
      </pivotArea>
    </format>
    <format dxfId="116">
      <pivotArea dataOnly="0" labelOnly="1" fieldPosition="0">
        <references count="1">
          <reference field="1" count="0"/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type="topRight" dataOnly="0" labelOnly="1" outline="0" fieldPosition="0"/>
    </format>
    <format dxfId="111">
      <pivotArea dataOnly="0" labelOnly="1" fieldPosition="0">
        <references count="1">
          <reference field="0" count="0"/>
        </references>
      </pivotArea>
    </format>
    <format dxfId="110">
      <pivotArea dataOnly="0" labelOnly="1" fieldPosition="0">
        <references count="1">
          <reference field="1" count="0"/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type="origin" dataOnly="0" labelOnly="1" outline="0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fieldPosition="0">
        <references count="1">
          <reference field="1" count="0"/>
        </references>
      </pivotArea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Kampaniya adları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]"/>
        <x15:activeTabTopLevelEntity name="[Campaigns]"/>
        <x15:activeTabTopLevelEntity name="[A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FE2B-D1B9-4DFE-ACE4-49F47059075E}">
  <dimension ref="C3:J76"/>
  <sheetViews>
    <sheetView tabSelected="1" zoomScale="57" zoomScaleNormal="79" workbookViewId="0">
      <selection activeCell="G7" sqref="G7"/>
    </sheetView>
  </sheetViews>
  <sheetFormatPr defaultRowHeight="14.4" x14ac:dyDescent="0.3"/>
  <cols>
    <col min="3" max="3" width="44.5546875" customWidth="1"/>
    <col min="4" max="4" width="75.88671875" customWidth="1"/>
    <col min="5" max="5" width="28.77734375" bestFit="1" customWidth="1"/>
    <col min="6" max="6" width="12.77734375" bestFit="1" customWidth="1"/>
    <col min="7" max="7" width="14.88671875" bestFit="1" customWidth="1"/>
    <col min="8" max="8" width="8" bestFit="1" customWidth="1"/>
    <col min="9" max="10" width="10.33203125" customWidth="1"/>
    <col min="11" max="26" width="10.33203125" bestFit="1" customWidth="1"/>
    <col min="27" max="27" width="10.77734375" bestFit="1" customWidth="1"/>
    <col min="28" max="475" width="10.109375" bestFit="1" customWidth="1"/>
    <col min="476" max="476" width="10.77734375" bestFit="1" customWidth="1"/>
  </cols>
  <sheetData>
    <row r="3" spans="3:8" ht="23.4" customHeight="1" x14ac:dyDescent="0.55000000000000004">
      <c r="C3" s="45" t="s">
        <v>34</v>
      </c>
      <c r="D3" s="45"/>
    </row>
    <row r="4" spans="3:8" ht="34.200000000000003" customHeight="1" x14ac:dyDescent="0.4">
      <c r="C4" s="46" t="s">
        <v>33</v>
      </c>
      <c r="D4" s="47"/>
      <c r="E4" s="3"/>
      <c r="F4" s="3"/>
    </row>
    <row r="5" spans="3:8" ht="14.4" customHeight="1" x14ac:dyDescent="0.4">
      <c r="C5" s="48"/>
      <c r="D5" s="49"/>
      <c r="E5" s="3"/>
      <c r="F5" s="3"/>
    </row>
    <row r="6" spans="3:8" ht="14.4" customHeight="1" x14ac:dyDescent="0.4">
      <c r="C6" s="48"/>
      <c r="D6" s="49"/>
      <c r="E6" s="3"/>
      <c r="F6" s="3"/>
    </row>
    <row r="7" spans="3:8" ht="43.8" customHeight="1" x14ac:dyDescent="0.4">
      <c r="C7" s="48"/>
      <c r="D7" s="49"/>
      <c r="E7" s="3"/>
      <c r="F7" s="3"/>
    </row>
    <row r="8" spans="3:8" ht="28.8" x14ac:dyDescent="0.4">
      <c r="C8" s="50" t="s">
        <v>18</v>
      </c>
      <c r="D8" s="51" t="s">
        <v>46</v>
      </c>
      <c r="E8" s="3"/>
      <c r="H8" t="s">
        <v>12</v>
      </c>
    </row>
    <row r="9" spans="3:8" ht="28.8" x14ac:dyDescent="0.4">
      <c r="C9" s="52" t="s">
        <v>13</v>
      </c>
      <c r="D9" s="53">
        <v>73</v>
      </c>
      <c r="E9" s="3"/>
    </row>
    <row r="10" spans="3:8" ht="28.8" x14ac:dyDescent="0.4">
      <c r="C10" s="54" t="s">
        <v>14</v>
      </c>
      <c r="D10" s="55">
        <v>100</v>
      </c>
      <c r="E10" s="3"/>
    </row>
    <row r="11" spans="3:8" ht="28.8" x14ac:dyDescent="0.4">
      <c r="C11" s="56" t="s">
        <v>15</v>
      </c>
      <c r="D11" s="55">
        <v>27</v>
      </c>
      <c r="E11" s="3"/>
    </row>
    <row r="12" spans="3:8" ht="28.8" x14ac:dyDescent="0.4">
      <c r="C12" s="51" t="s">
        <v>39</v>
      </c>
      <c r="D12" s="57">
        <v>200</v>
      </c>
      <c r="E12" s="3"/>
    </row>
    <row r="13" spans="3:8" x14ac:dyDescent="0.3">
      <c r="C13" s="1"/>
      <c r="D13" s="2"/>
    </row>
    <row r="14" spans="3:8" x14ac:dyDescent="0.3">
      <c r="C14" s="1"/>
      <c r="D14" s="2"/>
    </row>
    <row r="15" spans="3:8" x14ac:dyDescent="0.3">
      <c r="C15" s="1"/>
      <c r="D15" s="2"/>
    </row>
    <row r="16" spans="3:8" ht="28.8" x14ac:dyDescent="0.3">
      <c r="C16" s="39" t="s">
        <v>35</v>
      </c>
      <c r="D16" s="39"/>
    </row>
    <row r="17" spans="3:4" ht="26.4" customHeight="1" x14ac:dyDescent="0.3">
      <c r="C17" s="40" t="s">
        <v>36</v>
      </c>
      <c r="D17" s="41"/>
    </row>
    <row r="18" spans="3:4" ht="26.4" customHeight="1" x14ac:dyDescent="0.3">
      <c r="C18" s="41"/>
      <c r="D18" s="41"/>
    </row>
    <row r="19" spans="3:4" ht="26.4" customHeight="1" x14ac:dyDescent="0.3">
      <c r="C19" s="41"/>
      <c r="D19" s="41"/>
    </row>
    <row r="20" spans="3:4" ht="43.2" customHeight="1" x14ac:dyDescent="0.3">
      <c r="C20" s="41"/>
      <c r="D20" s="41"/>
    </row>
    <row r="21" spans="3:4" ht="43.2" customHeight="1" x14ac:dyDescent="0.3">
      <c r="C21" s="41"/>
      <c r="D21" s="41"/>
    </row>
    <row r="22" spans="3:4" ht="25.8" x14ac:dyDescent="0.3">
      <c r="C22" s="42" t="s">
        <v>19</v>
      </c>
      <c r="D22" s="43" t="s">
        <v>46</v>
      </c>
    </row>
    <row r="23" spans="3:4" ht="25.8" x14ac:dyDescent="0.3">
      <c r="C23" s="43" t="s">
        <v>16</v>
      </c>
      <c r="D23" s="44">
        <v>355</v>
      </c>
    </row>
    <row r="24" spans="3:4" ht="25.8" x14ac:dyDescent="0.3">
      <c r="C24" s="43" t="s">
        <v>14</v>
      </c>
      <c r="D24" s="44">
        <v>210</v>
      </c>
    </row>
    <row r="25" spans="3:4" ht="25.8" x14ac:dyDescent="0.3">
      <c r="C25" s="43" t="s">
        <v>13</v>
      </c>
      <c r="D25" s="44">
        <v>73</v>
      </c>
    </row>
    <row r="26" spans="3:4" ht="25.8" x14ac:dyDescent="0.3">
      <c r="C26" s="43" t="s">
        <v>15</v>
      </c>
      <c r="D26" s="44">
        <v>72</v>
      </c>
    </row>
    <row r="27" spans="3:4" ht="25.8" x14ac:dyDescent="0.3">
      <c r="C27" s="43" t="s">
        <v>17</v>
      </c>
      <c r="D27" s="44">
        <v>330</v>
      </c>
    </row>
    <row r="28" spans="3:4" ht="25.8" x14ac:dyDescent="0.3">
      <c r="C28" s="43" t="s">
        <v>14</v>
      </c>
      <c r="D28" s="44">
        <v>175</v>
      </c>
    </row>
    <row r="29" spans="3:4" ht="25.8" x14ac:dyDescent="0.3">
      <c r="C29" s="43" t="s">
        <v>15</v>
      </c>
      <c r="D29" s="44">
        <v>111</v>
      </c>
    </row>
    <row r="30" spans="3:4" ht="25.8" x14ac:dyDescent="0.3">
      <c r="C30" s="43" t="s">
        <v>13</v>
      </c>
      <c r="D30" s="44">
        <v>44</v>
      </c>
    </row>
    <row r="33" spans="3:5" ht="26.4" x14ac:dyDescent="0.3">
      <c r="C33" s="21" t="s">
        <v>55</v>
      </c>
      <c r="D33" s="22"/>
      <c r="E33" s="5"/>
    </row>
    <row r="34" spans="3:5" ht="23.4" x14ac:dyDescent="0.45">
      <c r="C34" s="23" t="s">
        <v>56</v>
      </c>
      <c r="D34" s="24" t="s" vm="1">
        <v>20</v>
      </c>
      <c r="E34" s="8"/>
    </row>
    <row r="35" spans="3:5" ht="21" x14ac:dyDescent="0.4">
      <c r="C35" s="9"/>
      <c r="D35" s="10"/>
      <c r="E35" s="8"/>
    </row>
    <row r="36" spans="3:5" ht="21" x14ac:dyDescent="0.4">
      <c r="C36" s="12"/>
      <c r="D36" s="13" t="s">
        <v>37</v>
      </c>
      <c r="E36" s="14" t="s">
        <v>38</v>
      </c>
    </row>
    <row r="37" spans="3:5" ht="25.8" x14ac:dyDescent="0.5">
      <c r="C37" s="29" t="s">
        <v>0</v>
      </c>
      <c r="D37" s="30">
        <v>1649</v>
      </c>
      <c r="E37" s="31">
        <v>256</v>
      </c>
    </row>
    <row r="38" spans="3:5" ht="25.8" x14ac:dyDescent="0.5">
      <c r="C38" s="32" t="s">
        <v>1</v>
      </c>
      <c r="D38" s="33">
        <v>4248</v>
      </c>
      <c r="E38" s="34">
        <v>407</v>
      </c>
    </row>
    <row r="39" spans="3:5" ht="25.8" x14ac:dyDescent="0.5">
      <c r="C39" s="32" t="s">
        <v>2</v>
      </c>
      <c r="D39" s="33">
        <v>3333</v>
      </c>
      <c r="E39" s="34">
        <v>469</v>
      </c>
    </row>
    <row r="40" spans="3:5" ht="25.8" x14ac:dyDescent="0.5">
      <c r="C40" s="32" t="s">
        <v>3</v>
      </c>
      <c r="D40" s="33">
        <v>2010</v>
      </c>
      <c r="E40" s="34">
        <v>267</v>
      </c>
    </row>
    <row r="41" spans="3:5" ht="25.8" x14ac:dyDescent="0.5">
      <c r="C41" s="32" t="s">
        <v>4</v>
      </c>
      <c r="D41" s="33">
        <v>1936</v>
      </c>
      <c r="E41" s="34">
        <v>71</v>
      </c>
    </row>
    <row r="42" spans="3:5" ht="25.8" x14ac:dyDescent="0.5">
      <c r="C42" s="32" t="s">
        <v>5</v>
      </c>
      <c r="D42" s="33">
        <v>2656</v>
      </c>
      <c r="E42" s="34">
        <v>182</v>
      </c>
    </row>
    <row r="43" spans="3:5" ht="25.8" x14ac:dyDescent="0.5">
      <c r="C43" s="32" t="s">
        <v>6</v>
      </c>
      <c r="D43" s="33">
        <v>1558</v>
      </c>
      <c r="E43" s="34">
        <v>192</v>
      </c>
    </row>
    <row r="44" spans="3:5" ht="25.8" x14ac:dyDescent="0.5">
      <c r="C44" s="32" t="s">
        <v>7</v>
      </c>
      <c r="D44" s="33">
        <v>1744</v>
      </c>
      <c r="E44" s="34">
        <v>161</v>
      </c>
    </row>
    <row r="45" spans="3:5" ht="25.8" x14ac:dyDescent="0.5">
      <c r="C45" s="32" t="s">
        <v>8</v>
      </c>
      <c r="D45" s="33">
        <v>1929</v>
      </c>
      <c r="E45" s="34">
        <v>238</v>
      </c>
    </row>
    <row r="46" spans="3:5" ht="25.8" x14ac:dyDescent="0.5">
      <c r="C46" s="32" t="s">
        <v>9</v>
      </c>
      <c r="D46" s="33">
        <v>1367</v>
      </c>
      <c r="E46" s="34">
        <v>155</v>
      </c>
    </row>
    <row r="47" spans="3:5" ht="25.8" x14ac:dyDescent="0.5">
      <c r="C47" s="35" t="s">
        <v>10</v>
      </c>
      <c r="D47" s="33">
        <v>2673</v>
      </c>
      <c r="E47" s="34">
        <v>76</v>
      </c>
    </row>
    <row r="48" spans="3:5" ht="25.8" x14ac:dyDescent="0.5">
      <c r="C48" s="36" t="s">
        <v>39</v>
      </c>
      <c r="D48" s="37">
        <v>25103</v>
      </c>
      <c r="E48" s="38">
        <v>2474</v>
      </c>
    </row>
    <row r="49" spans="3:5" x14ac:dyDescent="0.3">
      <c r="C49" s="6"/>
      <c r="D49" s="7"/>
      <c r="E49" s="4"/>
    </row>
    <row r="50" spans="3:5" ht="25.8" x14ac:dyDescent="0.3">
      <c r="C50" s="16" t="s">
        <v>41</v>
      </c>
      <c r="D50" s="16" t="s">
        <v>40</v>
      </c>
      <c r="E50" s="4"/>
    </row>
    <row r="51" spans="3:5" ht="25.8" x14ac:dyDescent="0.3">
      <c r="C51" s="15">
        <v>657572</v>
      </c>
      <c r="D51" s="17">
        <v>76047</v>
      </c>
      <c r="E51" s="4"/>
    </row>
    <row r="52" spans="3:5" x14ac:dyDescent="0.3">
      <c r="C52" s="6"/>
      <c r="D52" s="7"/>
      <c r="E52" s="4"/>
    </row>
    <row r="53" spans="3:5" ht="25.8" x14ac:dyDescent="0.5">
      <c r="C53" s="25" t="s">
        <v>44</v>
      </c>
      <c r="D53" s="25" t="s">
        <v>41</v>
      </c>
      <c r="E53" s="25" t="s">
        <v>40</v>
      </c>
    </row>
    <row r="54" spans="3:5" ht="25.8" x14ac:dyDescent="0.5">
      <c r="C54" s="25" t="s">
        <v>42</v>
      </c>
      <c r="D54" s="26">
        <f>D48</f>
        <v>25103</v>
      </c>
      <c r="E54" s="25">
        <f>E48</f>
        <v>2474</v>
      </c>
    </row>
    <row r="55" spans="3:5" ht="25.8" x14ac:dyDescent="0.5">
      <c r="C55" s="25" t="s">
        <v>43</v>
      </c>
      <c r="D55" s="27">
        <f>C51</f>
        <v>657572</v>
      </c>
      <c r="E55" s="28">
        <f>D51</f>
        <v>76047</v>
      </c>
    </row>
    <row r="56" spans="3:5" x14ac:dyDescent="0.3">
      <c r="C56" s="7"/>
      <c r="D56" s="7"/>
      <c r="E56" s="7"/>
    </row>
    <row r="57" spans="3:5" x14ac:dyDescent="0.3">
      <c r="C57" s="7"/>
      <c r="D57" s="7"/>
      <c r="E57" s="7"/>
    </row>
    <row r="58" spans="3:5" x14ac:dyDescent="0.3">
      <c r="C58" s="7"/>
      <c r="D58" s="7"/>
      <c r="E58" s="7"/>
    </row>
    <row r="59" spans="3:5" x14ac:dyDescent="0.3">
      <c r="C59" s="7"/>
      <c r="D59" s="7"/>
      <c r="E59" s="7"/>
    </row>
    <row r="60" spans="3:5" x14ac:dyDescent="0.3">
      <c r="C60" s="7"/>
      <c r="D60" s="7"/>
      <c r="E60" s="7"/>
    </row>
    <row r="61" spans="3:5" x14ac:dyDescent="0.3">
      <c r="C61" s="7"/>
      <c r="D61" s="7"/>
      <c r="E61" s="7"/>
    </row>
    <row r="62" spans="3:5" x14ac:dyDescent="0.3">
      <c r="C62" s="7"/>
      <c r="D62" s="7"/>
      <c r="E62" s="7"/>
    </row>
    <row r="63" spans="3:5" x14ac:dyDescent="0.3">
      <c r="C63" s="7"/>
      <c r="D63" s="7"/>
      <c r="E63" s="7"/>
    </row>
    <row r="64" spans="3:5" x14ac:dyDescent="0.3">
      <c r="C64" s="7"/>
      <c r="D64" s="7"/>
      <c r="E64" s="7"/>
    </row>
    <row r="65" spans="3:10" x14ac:dyDescent="0.3">
      <c r="C65" s="7"/>
      <c r="D65" s="7"/>
      <c r="E65" s="7"/>
    </row>
    <row r="66" spans="3:10" x14ac:dyDescent="0.3">
      <c r="C66" s="7"/>
      <c r="D66" s="7"/>
      <c r="E66" s="7"/>
    </row>
    <row r="67" spans="3:10" x14ac:dyDescent="0.3">
      <c r="C67" s="7"/>
      <c r="D67" s="7"/>
      <c r="E67" s="7"/>
    </row>
    <row r="68" spans="3:10" x14ac:dyDescent="0.3">
      <c r="C68" s="7"/>
      <c r="D68" s="7"/>
      <c r="E68" s="7"/>
    </row>
    <row r="69" spans="3:10" x14ac:dyDescent="0.3">
      <c r="C69" s="7"/>
      <c r="D69" s="7"/>
      <c r="E69" s="7"/>
    </row>
    <row r="70" spans="3:10" x14ac:dyDescent="0.3">
      <c r="C70" s="7"/>
      <c r="D70" s="7"/>
      <c r="E70" s="7"/>
    </row>
    <row r="71" spans="3:10" x14ac:dyDescent="0.3">
      <c r="C71" s="7"/>
      <c r="D71" s="7"/>
      <c r="E71" s="7"/>
    </row>
    <row r="72" spans="3:10" x14ac:dyDescent="0.3">
      <c r="C72" s="7"/>
      <c r="D72" s="7"/>
      <c r="E72" s="7"/>
    </row>
    <row r="76" spans="3:10" x14ac:dyDescent="0.3">
      <c r="J76" s="20"/>
    </row>
  </sheetData>
  <mergeCells count="5">
    <mergeCell ref="C33:D33"/>
    <mergeCell ref="C4:D7"/>
    <mergeCell ref="C3:D3"/>
    <mergeCell ref="C16:D16"/>
    <mergeCell ref="C17:D21"/>
  </mergeCell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6416-0B40-44AD-9E7D-06D3826106FB}">
  <dimension ref="B1:H96"/>
  <sheetViews>
    <sheetView zoomScale="90" zoomScaleNormal="70" workbookViewId="0">
      <selection activeCell="E35" sqref="E35"/>
    </sheetView>
  </sheetViews>
  <sheetFormatPr defaultRowHeight="14.4" x14ac:dyDescent="0.3"/>
  <cols>
    <col min="2" max="2" width="45" customWidth="1"/>
    <col min="3" max="3" width="34.77734375" bestFit="1" customWidth="1"/>
    <col min="4" max="4" width="17.77734375" customWidth="1"/>
    <col min="5" max="5" width="14.21875" bestFit="1" customWidth="1"/>
    <col min="6" max="6" width="13.6640625" customWidth="1"/>
    <col min="7" max="7" width="12.109375" bestFit="1" customWidth="1"/>
    <col min="8" max="8" width="12" bestFit="1" customWidth="1"/>
    <col min="9" max="9" width="10.88671875" bestFit="1" customWidth="1"/>
    <col min="10" max="21" width="10.109375" bestFit="1" customWidth="1"/>
    <col min="22" max="22" width="10.77734375" bestFit="1" customWidth="1"/>
  </cols>
  <sheetData>
    <row r="1" spans="2:8" ht="26.4" x14ac:dyDescent="0.6">
      <c r="B1" s="86" t="s">
        <v>48</v>
      </c>
      <c r="C1" s="86"/>
      <c r="D1" s="7"/>
      <c r="E1" s="7"/>
      <c r="F1" s="7"/>
      <c r="G1" s="7"/>
      <c r="H1" s="7"/>
    </row>
    <row r="2" spans="2:8" x14ac:dyDescent="0.3">
      <c r="B2" s="7"/>
      <c r="C2" s="7"/>
      <c r="D2" s="7"/>
      <c r="E2" s="7"/>
      <c r="F2" s="7"/>
      <c r="G2" s="7"/>
      <c r="H2" s="7"/>
    </row>
    <row r="3" spans="2:8" x14ac:dyDescent="0.3">
      <c r="B3" s="7"/>
      <c r="C3" s="7"/>
      <c r="D3" s="7"/>
      <c r="E3" s="7"/>
      <c r="F3" s="7"/>
      <c r="G3" s="7"/>
      <c r="H3" s="7"/>
    </row>
    <row r="4" spans="2:8" ht="21" x14ac:dyDescent="0.4">
      <c r="B4" s="77" t="s">
        <v>45</v>
      </c>
      <c r="C4" s="78" t="s">
        <v>46</v>
      </c>
      <c r="D4" s="78" t="s">
        <v>47</v>
      </c>
      <c r="E4" s="7"/>
      <c r="F4" s="7"/>
      <c r="G4" s="7"/>
      <c r="H4" s="7"/>
    </row>
    <row r="5" spans="2:8" ht="21" x14ac:dyDescent="0.4">
      <c r="B5" s="78" t="s">
        <v>28</v>
      </c>
      <c r="C5" s="79">
        <v>44</v>
      </c>
      <c r="D5" s="80">
        <v>0.22</v>
      </c>
      <c r="E5" s="7"/>
      <c r="F5" s="7"/>
      <c r="G5" s="7"/>
      <c r="H5" s="7"/>
    </row>
    <row r="6" spans="2:8" ht="21" x14ac:dyDescent="0.4">
      <c r="B6" s="78" t="s">
        <v>29</v>
      </c>
      <c r="C6" s="79">
        <v>34</v>
      </c>
      <c r="D6" s="80">
        <v>0.17</v>
      </c>
      <c r="E6" s="7"/>
      <c r="F6" s="7"/>
      <c r="G6" s="7"/>
      <c r="H6" s="7"/>
    </row>
    <row r="7" spans="2:8" ht="21" x14ac:dyDescent="0.4">
      <c r="B7" s="78" t="s">
        <v>30</v>
      </c>
      <c r="C7" s="79">
        <v>39</v>
      </c>
      <c r="D7" s="80">
        <v>0.19500000000000001</v>
      </c>
      <c r="E7" s="7"/>
      <c r="F7" s="7"/>
      <c r="G7" s="7"/>
      <c r="H7" s="7"/>
    </row>
    <row r="8" spans="2:8" ht="21" x14ac:dyDescent="0.4">
      <c r="B8" s="78" t="s">
        <v>31</v>
      </c>
      <c r="C8" s="79">
        <v>49</v>
      </c>
      <c r="D8" s="80">
        <v>0.245</v>
      </c>
      <c r="E8" s="7"/>
      <c r="F8" s="7"/>
      <c r="G8" s="7"/>
      <c r="H8" s="7"/>
    </row>
    <row r="9" spans="2:8" ht="21" x14ac:dyDescent="0.4">
      <c r="B9" s="78" t="s">
        <v>32</v>
      </c>
      <c r="C9" s="79">
        <v>34</v>
      </c>
      <c r="D9" s="80">
        <v>0.17</v>
      </c>
      <c r="E9" s="7"/>
      <c r="F9" s="7"/>
      <c r="G9" s="7"/>
      <c r="H9" s="7"/>
    </row>
    <row r="10" spans="2:8" ht="21" x14ac:dyDescent="0.4">
      <c r="B10" s="78" t="s">
        <v>39</v>
      </c>
      <c r="C10" s="79">
        <v>200</v>
      </c>
      <c r="D10" s="80">
        <v>1</v>
      </c>
      <c r="E10" s="7"/>
      <c r="F10" s="7"/>
      <c r="G10" s="7"/>
      <c r="H10" s="7"/>
    </row>
    <row r="11" spans="2:8" x14ac:dyDescent="0.3">
      <c r="B11" s="7"/>
      <c r="C11" s="7"/>
      <c r="D11" s="7"/>
      <c r="E11" s="7"/>
      <c r="F11" s="7"/>
      <c r="G11" s="7"/>
      <c r="H11" s="7"/>
    </row>
    <row r="12" spans="2:8" x14ac:dyDescent="0.3">
      <c r="B12" s="7"/>
      <c r="C12" s="7"/>
      <c r="D12" s="7"/>
      <c r="E12" s="7"/>
      <c r="F12" s="7"/>
      <c r="G12" s="7"/>
      <c r="H12" s="7"/>
    </row>
    <row r="13" spans="2:8" x14ac:dyDescent="0.3">
      <c r="B13" s="7"/>
      <c r="C13" s="7"/>
      <c r="D13" s="7"/>
      <c r="E13" s="7"/>
      <c r="F13" s="7"/>
      <c r="G13" s="7"/>
      <c r="H13" s="7"/>
    </row>
    <row r="14" spans="2:8" ht="15.6" x14ac:dyDescent="0.3">
      <c r="B14" s="81" t="s">
        <v>49</v>
      </c>
      <c r="C14" s="82"/>
      <c r="D14" s="82"/>
      <c r="E14" s="82"/>
      <c r="F14" s="82"/>
      <c r="G14" s="82"/>
      <c r="H14" s="82"/>
    </row>
    <row r="15" spans="2:8" ht="15.6" x14ac:dyDescent="0.3">
      <c r="B15" s="82"/>
      <c r="C15" s="82" t="s">
        <v>21</v>
      </c>
      <c r="D15" s="82" t="s">
        <v>22</v>
      </c>
      <c r="E15" s="82" t="s">
        <v>23</v>
      </c>
      <c r="F15" s="82" t="s">
        <v>24</v>
      </c>
      <c r="G15" s="82" t="s">
        <v>25</v>
      </c>
      <c r="H15" s="82" t="s">
        <v>26</v>
      </c>
    </row>
    <row r="16" spans="2:8" ht="15.6" x14ac:dyDescent="0.3">
      <c r="B16" s="82" t="s">
        <v>28</v>
      </c>
      <c r="C16" s="11">
        <v>17</v>
      </c>
      <c r="D16" s="11">
        <v>18</v>
      </c>
      <c r="E16" s="11">
        <v>23</v>
      </c>
      <c r="F16" s="11">
        <v>26</v>
      </c>
      <c r="G16" s="11">
        <v>21</v>
      </c>
      <c r="H16" s="11">
        <v>17</v>
      </c>
    </row>
    <row r="17" spans="2:8" ht="15.6" x14ac:dyDescent="0.3">
      <c r="B17" s="82" t="s">
        <v>29</v>
      </c>
      <c r="C17" s="11">
        <v>16</v>
      </c>
      <c r="D17" s="11">
        <v>21</v>
      </c>
      <c r="E17" s="11">
        <v>16</v>
      </c>
      <c r="F17" s="11">
        <v>21</v>
      </c>
      <c r="G17" s="11">
        <v>15</v>
      </c>
      <c r="H17" s="11">
        <v>17</v>
      </c>
    </row>
    <row r="18" spans="2:8" ht="15.6" x14ac:dyDescent="0.3">
      <c r="B18" s="82" t="s">
        <v>30</v>
      </c>
      <c r="C18" s="11">
        <v>17</v>
      </c>
      <c r="D18" s="11">
        <v>19</v>
      </c>
      <c r="E18" s="11">
        <v>17</v>
      </c>
      <c r="F18" s="11">
        <v>19</v>
      </c>
      <c r="G18" s="11">
        <v>16</v>
      </c>
      <c r="H18" s="11">
        <v>21</v>
      </c>
    </row>
    <row r="19" spans="2:8" ht="15.6" x14ac:dyDescent="0.3">
      <c r="B19" s="82" t="s">
        <v>31</v>
      </c>
      <c r="C19" s="11">
        <v>25</v>
      </c>
      <c r="D19" s="11">
        <v>26</v>
      </c>
      <c r="E19" s="11">
        <v>28</v>
      </c>
      <c r="F19" s="11">
        <v>25</v>
      </c>
      <c r="G19" s="11">
        <v>23</v>
      </c>
      <c r="H19" s="11">
        <v>21</v>
      </c>
    </row>
    <row r="20" spans="2:8" ht="15.6" x14ac:dyDescent="0.3">
      <c r="B20" s="82" t="s">
        <v>32</v>
      </c>
      <c r="C20" s="11">
        <v>15</v>
      </c>
      <c r="D20" s="11">
        <v>18</v>
      </c>
      <c r="E20" s="11">
        <v>17</v>
      </c>
      <c r="F20" s="11">
        <v>19</v>
      </c>
      <c r="G20" s="11">
        <v>16</v>
      </c>
      <c r="H20" s="11">
        <v>19</v>
      </c>
    </row>
    <row r="21" spans="2:8" x14ac:dyDescent="0.3">
      <c r="B21" s="7"/>
      <c r="C21" s="7"/>
      <c r="D21" s="7"/>
      <c r="E21" s="7"/>
      <c r="F21" s="7"/>
      <c r="G21" s="7"/>
      <c r="H21" s="7"/>
    </row>
    <row r="22" spans="2:8" x14ac:dyDescent="0.3">
      <c r="B22" s="7"/>
      <c r="C22" s="7"/>
      <c r="D22" s="7"/>
      <c r="E22" s="7"/>
      <c r="F22" s="7"/>
      <c r="G22" s="7"/>
      <c r="H22" s="7"/>
    </row>
    <row r="23" spans="2:8" ht="23.4" x14ac:dyDescent="0.45">
      <c r="B23" s="83" t="s">
        <v>50</v>
      </c>
      <c r="C23" s="83"/>
      <c r="D23" s="7"/>
      <c r="E23" s="7"/>
      <c r="F23" s="7"/>
      <c r="G23" s="7"/>
      <c r="H23" s="7"/>
    </row>
    <row r="24" spans="2:8" ht="21" x14ac:dyDescent="0.3">
      <c r="B24" s="84" t="s">
        <v>28</v>
      </c>
      <c r="C24" s="84" t="str">
        <f>INDEX($C$15:$H$15,MATCH(MAX(C16:H16),C16:H16,0))</f>
        <v>Campaign D</v>
      </c>
      <c r="D24" s="7"/>
      <c r="E24" s="7"/>
      <c r="F24" s="7"/>
      <c r="G24" s="7"/>
      <c r="H24" s="7"/>
    </row>
    <row r="25" spans="2:8" ht="21" x14ac:dyDescent="0.3">
      <c r="B25" s="84" t="s">
        <v>29</v>
      </c>
      <c r="C25" s="84" t="str">
        <f>INDEX($C$15:$H$15,MATCH(MAX(C17:H17),C17:H17,0))</f>
        <v>Campaign B</v>
      </c>
      <c r="D25" s="7"/>
      <c r="E25" s="7"/>
      <c r="F25" s="7"/>
      <c r="G25" s="7"/>
      <c r="H25" s="7"/>
    </row>
    <row r="26" spans="2:8" ht="21" x14ac:dyDescent="0.3">
      <c r="B26" s="84" t="s">
        <v>30</v>
      </c>
      <c r="C26" s="84" t="str">
        <f>INDEX($C$15:$H$15,MATCH(MAX(C18:H18),C18:H18,0))</f>
        <v>Campaign F</v>
      </c>
      <c r="D26" s="7"/>
      <c r="E26" s="7"/>
      <c r="F26" s="7"/>
      <c r="G26" s="7"/>
      <c r="H26" s="7"/>
    </row>
    <row r="27" spans="2:8" ht="21" x14ac:dyDescent="0.3">
      <c r="B27" s="84" t="s">
        <v>31</v>
      </c>
      <c r="C27" s="84" t="str">
        <f>INDEX($C$15:$H$15,MATCH(MAX(C19:H19),C19:H19,0))</f>
        <v>Campaign C</v>
      </c>
      <c r="D27" s="7"/>
      <c r="E27" s="7"/>
      <c r="F27" s="7"/>
      <c r="G27" s="7"/>
      <c r="H27" s="7"/>
    </row>
    <row r="28" spans="2:8" ht="21" x14ac:dyDescent="0.3">
      <c r="B28" s="84" t="s">
        <v>32</v>
      </c>
      <c r="C28" s="84" t="str">
        <f>INDEX($C$15:$H$15,MATCH(MAX(C20:H20),C20:H20,0))</f>
        <v>Campaign D</v>
      </c>
      <c r="D28" s="7"/>
      <c r="E28" s="7"/>
      <c r="F28" s="7"/>
      <c r="G28" s="7"/>
      <c r="H28" s="7"/>
    </row>
    <row r="29" spans="2:8" x14ac:dyDescent="0.3">
      <c r="B29" s="7"/>
      <c r="C29" s="7"/>
      <c r="D29" s="7"/>
      <c r="E29" s="7"/>
      <c r="F29" s="7"/>
      <c r="G29" s="7"/>
      <c r="H29" s="7"/>
    </row>
    <row r="30" spans="2:8" x14ac:dyDescent="0.3">
      <c r="B30" s="7"/>
      <c r="C30" s="7"/>
      <c r="D30" s="7"/>
      <c r="E30" s="7"/>
      <c r="F30" s="7"/>
      <c r="G30" s="7"/>
      <c r="H30" s="7"/>
    </row>
    <row r="31" spans="2:8" x14ac:dyDescent="0.3">
      <c r="B31" s="7"/>
      <c r="C31" s="7"/>
      <c r="D31" s="7"/>
      <c r="E31" s="7"/>
      <c r="F31" s="7"/>
      <c r="G31" s="7"/>
      <c r="H31" s="7"/>
    </row>
    <row r="32" spans="2:8" ht="23.4" x14ac:dyDescent="0.3">
      <c r="B32" s="74" t="s">
        <v>51</v>
      </c>
      <c r="C32" s="74"/>
      <c r="D32" s="7"/>
      <c r="E32" s="7"/>
      <c r="F32" s="7"/>
      <c r="G32" s="7"/>
      <c r="H32" s="7"/>
    </row>
    <row r="33" spans="2:8" ht="23.4" x14ac:dyDescent="0.3">
      <c r="B33" s="75"/>
      <c r="C33" s="75"/>
      <c r="D33" s="7"/>
      <c r="E33" s="7"/>
      <c r="F33" s="7"/>
      <c r="G33" s="7"/>
      <c r="H33" s="7"/>
    </row>
    <row r="34" spans="2:8" ht="21" x14ac:dyDescent="0.4">
      <c r="B34" s="69" t="s">
        <v>45</v>
      </c>
      <c r="C34" s="70" t="s">
        <v>52</v>
      </c>
      <c r="E34" s="7"/>
      <c r="F34" s="7"/>
      <c r="G34" s="7"/>
      <c r="H34" s="7"/>
    </row>
    <row r="35" spans="2:8" ht="21" x14ac:dyDescent="0.4">
      <c r="B35" s="70" t="s">
        <v>28</v>
      </c>
      <c r="C35" s="76">
        <v>133929</v>
      </c>
      <c r="E35" s="7"/>
      <c r="F35" s="7"/>
      <c r="G35" s="7"/>
      <c r="H35" s="7"/>
    </row>
    <row r="36" spans="2:8" ht="21" x14ac:dyDescent="0.4">
      <c r="B36" s="70" t="s">
        <v>29</v>
      </c>
      <c r="C36" s="76">
        <v>119907</v>
      </c>
      <c r="E36" s="7"/>
      <c r="F36" s="7"/>
      <c r="G36" s="7"/>
      <c r="H36" s="7"/>
    </row>
    <row r="37" spans="2:8" ht="21" x14ac:dyDescent="0.4">
      <c r="B37" s="70" t="s">
        <v>30</v>
      </c>
      <c r="C37" s="76">
        <v>118906</v>
      </c>
      <c r="E37" s="7"/>
      <c r="F37" s="7"/>
      <c r="G37" s="7"/>
      <c r="H37" s="7"/>
    </row>
    <row r="38" spans="2:8" ht="21" x14ac:dyDescent="0.4">
      <c r="B38" s="70" t="s">
        <v>31</v>
      </c>
      <c r="C38" s="76">
        <v>164699</v>
      </c>
      <c r="E38" s="7"/>
      <c r="F38" s="7"/>
      <c r="G38" s="7"/>
      <c r="H38" s="7"/>
    </row>
    <row r="39" spans="2:8" ht="21" x14ac:dyDescent="0.4">
      <c r="B39" s="70" t="s">
        <v>32</v>
      </c>
      <c r="C39" s="76">
        <v>120131</v>
      </c>
      <c r="E39" s="7"/>
      <c r="F39" s="7"/>
      <c r="G39" s="7"/>
      <c r="H39" s="7"/>
    </row>
    <row r="40" spans="2:8" ht="21" x14ac:dyDescent="0.4">
      <c r="B40" s="70" t="s">
        <v>53</v>
      </c>
      <c r="C40" s="76">
        <v>657572</v>
      </c>
      <c r="E40" s="7"/>
      <c r="F40" s="7"/>
      <c r="G40" s="7"/>
      <c r="H40" s="7"/>
    </row>
    <row r="41" spans="2:8" x14ac:dyDescent="0.3">
      <c r="E41" s="7"/>
      <c r="F41" s="7"/>
      <c r="G41" s="7"/>
      <c r="H41" s="7"/>
    </row>
    <row r="42" spans="2:8" x14ac:dyDescent="0.3">
      <c r="E42" s="7"/>
      <c r="F42" s="7"/>
      <c r="G42" s="7"/>
      <c r="H42" s="7"/>
    </row>
    <row r="43" spans="2:8" x14ac:dyDescent="0.3">
      <c r="B43" s="7"/>
      <c r="C43" s="7"/>
      <c r="D43" s="7"/>
      <c r="E43" s="7"/>
      <c r="F43" s="7"/>
      <c r="G43" s="7"/>
      <c r="H43" s="7"/>
    </row>
    <row r="44" spans="2:8" ht="18" x14ac:dyDescent="0.35">
      <c r="B44" s="58" t="s">
        <v>49</v>
      </c>
      <c r="C44" s="59"/>
      <c r="D44" s="59"/>
      <c r="E44" s="59"/>
      <c r="F44" s="60"/>
      <c r="G44" s="7"/>
      <c r="H44" s="7"/>
    </row>
    <row r="45" spans="2:8" ht="18" x14ac:dyDescent="0.35">
      <c r="B45" s="59"/>
      <c r="C45" s="61">
        <v>45047</v>
      </c>
      <c r="D45" s="61">
        <v>45078</v>
      </c>
      <c r="E45" s="61">
        <v>45108</v>
      </c>
      <c r="F45" s="73" t="s">
        <v>27</v>
      </c>
      <c r="G45" s="7"/>
      <c r="H45" s="7"/>
    </row>
    <row r="46" spans="2:8" ht="18" x14ac:dyDescent="0.35">
      <c r="B46" s="62" t="s">
        <v>21</v>
      </c>
      <c r="C46" s="63">
        <v>4977</v>
      </c>
      <c r="D46" s="63">
        <v>1819</v>
      </c>
      <c r="E46" s="63"/>
      <c r="F46" s="64">
        <f>_xlfn.STDEV.S(C46:E46)/AVERAGE(C46:E46)</f>
        <v>0.65716398322163538</v>
      </c>
      <c r="G46" s="7"/>
      <c r="H46" s="7"/>
    </row>
    <row r="47" spans="2:8" ht="18" x14ac:dyDescent="0.35">
      <c r="B47" s="62" t="s">
        <v>22</v>
      </c>
      <c r="C47" s="63">
        <v>5208</v>
      </c>
      <c r="D47" s="63">
        <v>2931</v>
      </c>
      <c r="E47" s="63">
        <v>146</v>
      </c>
      <c r="F47" s="64">
        <f t="shared" ref="F47:F51" si="0">_xlfn.STDEV.S(C47:E47)/AVERAGE(C47:E47)</f>
        <v>0.9180126108989316</v>
      </c>
      <c r="G47" s="7"/>
      <c r="H47" s="7"/>
    </row>
    <row r="48" spans="2:8" ht="18" x14ac:dyDescent="0.35">
      <c r="B48" s="62" t="s">
        <v>23</v>
      </c>
      <c r="C48" s="63">
        <v>7116</v>
      </c>
      <c r="D48" s="63">
        <v>1972</v>
      </c>
      <c r="E48" s="63">
        <v>521</v>
      </c>
      <c r="F48" s="64">
        <f t="shared" si="0"/>
        <v>1.0819695865507448</v>
      </c>
      <c r="G48" s="7"/>
      <c r="H48" s="7"/>
    </row>
    <row r="49" spans="2:8" ht="18" x14ac:dyDescent="0.35">
      <c r="B49" s="62" t="s">
        <v>24</v>
      </c>
      <c r="C49" s="63">
        <v>5469</v>
      </c>
      <c r="D49" s="63">
        <v>2160</v>
      </c>
      <c r="E49" s="63">
        <v>555</v>
      </c>
      <c r="F49" s="64">
        <f t="shared" si="0"/>
        <v>0.91853254102471504</v>
      </c>
      <c r="G49" s="7"/>
      <c r="H49" s="7"/>
    </row>
    <row r="50" spans="2:8" ht="18" x14ac:dyDescent="0.35">
      <c r="B50" s="62" t="s">
        <v>25</v>
      </c>
      <c r="C50" s="63">
        <v>4354</v>
      </c>
      <c r="D50" s="63">
        <v>2908</v>
      </c>
      <c r="E50" s="63"/>
      <c r="F50" s="64">
        <f t="shared" si="0"/>
        <v>0.28159636617894457</v>
      </c>
      <c r="G50" s="7"/>
      <c r="H50" s="7"/>
    </row>
    <row r="51" spans="2:8" ht="18" x14ac:dyDescent="0.35">
      <c r="B51" s="62" t="s">
        <v>26</v>
      </c>
      <c r="C51" s="63">
        <v>8520</v>
      </c>
      <c r="D51" s="63">
        <v>2958</v>
      </c>
      <c r="E51" s="63"/>
      <c r="F51" s="64">
        <f t="shared" si="0"/>
        <v>0.6852984695869625</v>
      </c>
      <c r="G51" s="7"/>
      <c r="H51" s="7"/>
    </row>
    <row r="52" spans="2:8" ht="52.2" customHeight="1" x14ac:dyDescent="0.3">
      <c r="B52" s="66" t="s">
        <v>57</v>
      </c>
      <c r="C52" s="66"/>
      <c r="D52" s="66"/>
      <c r="E52" s="66"/>
      <c r="F52" s="66"/>
      <c r="G52" s="7"/>
      <c r="H52" s="7"/>
    </row>
    <row r="53" spans="2:8" ht="23.4" x14ac:dyDescent="0.3">
      <c r="B53" s="18"/>
      <c r="C53" s="18"/>
      <c r="D53" s="18"/>
      <c r="E53" s="18"/>
      <c r="F53" s="18"/>
      <c r="G53" s="7"/>
      <c r="H53" s="7"/>
    </row>
    <row r="54" spans="2:8" ht="23.4" x14ac:dyDescent="0.3">
      <c r="B54" s="18"/>
      <c r="C54" s="18"/>
      <c r="D54" s="18"/>
      <c r="E54" s="18"/>
      <c r="F54" s="18"/>
      <c r="G54" s="7"/>
      <c r="H54" s="7"/>
    </row>
    <row r="55" spans="2:8" x14ac:dyDescent="0.3">
      <c r="G55" s="7"/>
      <c r="H55" s="7"/>
    </row>
    <row r="56" spans="2:8" x14ac:dyDescent="0.3">
      <c r="G56" s="7"/>
      <c r="H56" s="7"/>
    </row>
    <row r="57" spans="2:8" ht="21" x14ac:dyDescent="0.4">
      <c r="B57" s="69" t="s">
        <v>59</v>
      </c>
      <c r="C57" s="70" t="s">
        <v>52</v>
      </c>
      <c r="D57" s="70" t="s">
        <v>46</v>
      </c>
      <c r="G57" s="7"/>
      <c r="H57" s="7"/>
    </row>
    <row r="58" spans="2:8" ht="21" x14ac:dyDescent="0.4">
      <c r="B58" s="70" t="s">
        <v>26</v>
      </c>
      <c r="C58" s="71">
        <v>98587</v>
      </c>
      <c r="D58" s="71">
        <v>95</v>
      </c>
      <c r="G58" s="7"/>
      <c r="H58" s="7"/>
    </row>
    <row r="59" spans="2:8" ht="21" x14ac:dyDescent="0.4">
      <c r="B59" s="70" t="s">
        <v>21</v>
      </c>
      <c r="C59" s="71">
        <v>102692</v>
      </c>
      <c r="D59" s="71">
        <v>90</v>
      </c>
      <c r="G59" s="7"/>
      <c r="H59" s="7"/>
    </row>
    <row r="60" spans="2:8" ht="21" x14ac:dyDescent="0.4">
      <c r="B60" s="70" t="s">
        <v>25</v>
      </c>
      <c r="C60" s="71">
        <v>104016</v>
      </c>
      <c r="D60" s="71">
        <v>91</v>
      </c>
      <c r="G60" s="7"/>
      <c r="H60" s="7"/>
    </row>
    <row r="61" spans="2:8" ht="21" x14ac:dyDescent="0.4">
      <c r="B61" s="70" t="s">
        <v>23</v>
      </c>
      <c r="C61" s="71">
        <v>109063</v>
      </c>
      <c r="D61" s="71">
        <v>101</v>
      </c>
      <c r="G61" s="7"/>
      <c r="H61" s="7"/>
    </row>
    <row r="62" spans="2:8" ht="21" x14ac:dyDescent="0.4">
      <c r="B62" s="70" t="s">
        <v>22</v>
      </c>
      <c r="C62" s="71">
        <v>116104</v>
      </c>
      <c r="D62" s="71">
        <v>102</v>
      </c>
      <c r="G62" s="7"/>
      <c r="H62" s="7"/>
    </row>
    <row r="63" spans="2:8" ht="21" x14ac:dyDescent="0.4">
      <c r="B63" s="70" t="s">
        <v>24</v>
      </c>
      <c r="C63" s="71">
        <v>127110</v>
      </c>
      <c r="D63" s="71">
        <v>110</v>
      </c>
      <c r="G63" s="7"/>
      <c r="H63" s="7"/>
    </row>
    <row r="64" spans="2:8" ht="21" x14ac:dyDescent="0.4">
      <c r="B64" s="70" t="s">
        <v>11</v>
      </c>
      <c r="C64" s="71">
        <v>657572</v>
      </c>
      <c r="D64" s="71">
        <v>200</v>
      </c>
      <c r="G64" s="7"/>
      <c r="H64" s="7"/>
    </row>
    <row r="65" spans="2:8" ht="36.6" customHeight="1" x14ac:dyDescent="0.3">
      <c r="B65" s="66" t="s">
        <v>58</v>
      </c>
      <c r="C65" s="66"/>
      <c r="D65" s="66"/>
      <c r="G65" s="7"/>
      <c r="H65" s="7"/>
    </row>
    <row r="66" spans="2:8" ht="18" x14ac:dyDescent="0.3">
      <c r="B66" s="19"/>
      <c r="C66" s="19"/>
      <c r="D66" s="19"/>
      <c r="G66" s="7"/>
      <c r="H66" s="7"/>
    </row>
    <row r="67" spans="2:8" ht="14.4" customHeight="1" x14ac:dyDescent="0.3"/>
    <row r="68" spans="2:8" ht="14.4" customHeight="1" x14ac:dyDescent="0.3"/>
    <row r="69" spans="2:8" ht="37.799999999999997" customHeight="1" x14ac:dyDescent="0.35">
      <c r="B69" s="68" t="s">
        <v>59</v>
      </c>
      <c r="C69" s="68" t="s">
        <v>54</v>
      </c>
      <c r="D69" s="85" t="s">
        <v>47</v>
      </c>
    </row>
    <row r="70" spans="2:8" ht="18" x14ac:dyDescent="0.35">
      <c r="B70" s="67" t="s">
        <v>21</v>
      </c>
      <c r="C70" s="67">
        <v>5</v>
      </c>
      <c r="D70" s="72">
        <v>0.72222222222222221</v>
      </c>
    </row>
    <row r="71" spans="2:8" ht="18" x14ac:dyDescent="0.35">
      <c r="B71" s="67" t="s">
        <v>22</v>
      </c>
      <c r="C71" s="67">
        <v>7</v>
      </c>
      <c r="D71" s="72">
        <v>0.73529411764705888</v>
      </c>
    </row>
    <row r="72" spans="2:8" ht="18" x14ac:dyDescent="0.35">
      <c r="B72" s="67" t="s">
        <v>23</v>
      </c>
      <c r="C72" s="67">
        <v>18</v>
      </c>
      <c r="D72" s="72">
        <v>0.64356435643564358</v>
      </c>
    </row>
    <row r="73" spans="2:8" ht="18" x14ac:dyDescent="0.35">
      <c r="B73" s="67" t="s">
        <v>24</v>
      </c>
      <c r="C73" s="67">
        <v>9</v>
      </c>
      <c r="D73" s="72">
        <v>0.7</v>
      </c>
    </row>
    <row r="74" spans="2:8" ht="18" x14ac:dyDescent="0.35">
      <c r="B74" s="67" t="s">
        <v>25</v>
      </c>
      <c r="C74" s="67">
        <v>19</v>
      </c>
      <c r="D74" s="72">
        <v>0.70329670329670335</v>
      </c>
    </row>
    <row r="75" spans="2:8" ht="18" x14ac:dyDescent="0.35">
      <c r="B75" s="67" t="s">
        <v>26</v>
      </c>
      <c r="C75" s="67">
        <v>10</v>
      </c>
      <c r="D75" s="72">
        <v>0.68421052631578949</v>
      </c>
    </row>
    <row r="76" spans="2:8" ht="48" customHeight="1" x14ac:dyDescent="0.3">
      <c r="B76" s="65" t="s">
        <v>60</v>
      </c>
      <c r="C76" s="65"/>
      <c r="D76" s="65"/>
    </row>
    <row r="81" ht="14.4" customHeight="1" x14ac:dyDescent="0.3"/>
    <row r="82" ht="14.4" customHeight="1" x14ac:dyDescent="0.3"/>
    <row r="83" ht="42.6" customHeight="1" x14ac:dyDescent="0.3"/>
    <row r="96" ht="43.2" customHeight="1" x14ac:dyDescent="0.3"/>
  </sheetData>
  <mergeCells count="6">
    <mergeCell ref="B1:C1"/>
    <mergeCell ref="B23:C23"/>
    <mergeCell ref="B32:C32"/>
    <mergeCell ref="B65:D65"/>
    <mergeCell ref="B76:D76"/>
    <mergeCell ref="B52:F52"/>
  </mergeCell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��YYni_ edYnlYYYni_ edYnlYYYYYni_ edYnlYYni_ edYnlYYni_ edYnlYYYYYni_ edYnlYYni_ edYnlYYni_ edYnlY
</file>

<file path=customXml/item2.xml>��
</file>

<file path=customXml/item3.xml>��YYYni_ edYnlYYni_ edYnlY
</file>

<file path=customXml/item4.xml>��
</file>

<file path=customXml/item5.xml>��
</file>

<file path=customXml/item6.xml>��YYYni_ edYnlYYni_ edYnlY
</file>

<file path=customXml/item7.xml>��YYYni_ edYnlYYni_ edYnlY
</file>

<file path=customXml/item8.xml>��YYYni_ edYnlYYni_ edYnlY
</file>

<file path=customXml/item9.xml>��
</file>

<file path=customXml/item10.xml>��
</file>

<file path=customXml/item11.xml>��YYYni_ edYnlYYni_ edYnlY
</file>

<file path=customXml/item12.xml>��
</file>

<file path=customXml/item13.xml>��
</file>

<file path=customXml/item14.xml>��
</file>

<file path=customXml/item15.xml>��
</file>

<file path=customXml/item16.xml>��YYYni_ edYnlYYni_ edYnlY
</file>

<file path=customXml/item17.xml>��
</file>

<file path=customXml/item18.xml>��
</file>

<file path=customXml/item19.xml>��
</file>

<file path=customXml/item20.xml>��YYYni_ edYnlYYni_ edYnlY
</file>

<file path=customXml/item21.xml>��YYYni_ edYnlYYni_ edYnlY
</file>

<file path=customXml/item22.xml>��YYYni_ edYnlYYni_ edYnlY
</file>

<file path=customXml/item23.xml>��YYYni_ edYnlYYni_ edYnlY
</file>

<file path=customXml/item24.xml>��
</file>

<file path=customXml/item25.xml>��YYYni_ edYnlYYni_ edYnlY
</file>

<file path=customXml/item26.xml>��YYYni_ edYnlYYni_ edYnlY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��YYYni_ edYnlYYni_ edYnlY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69FC0104-581A-482B-9210-667E5C66D113}">
  <ds:schemaRefs/>
</ds:datastoreItem>
</file>

<file path=customXml/itemProps2.xml><?xml version="1.0" encoding="utf-8"?>
<ds:datastoreItem xmlns:ds="http://schemas.openxmlformats.org/officeDocument/2006/customXml" ds:itemID="{A73F1EAD-C2D3-4824-B53C-F37AD26533AC}">
  <ds:schemaRefs/>
</ds:datastoreItem>
</file>

<file path=customXml/itemProps3.xml><?xml version="1.0" encoding="utf-8"?>
<ds:datastoreItem xmlns:ds="http://schemas.openxmlformats.org/officeDocument/2006/customXml" ds:itemID="{044B7F43-75AD-4065-B603-6A8C6E2BAAF0}">
  <ds:schemaRefs/>
</ds:datastoreItem>
</file>

<file path=customXml/itemProps4.xml><?xml version="1.0" encoding="utf-8"?>
<ds:datastoreItem xmlns:ds="http://schemas.openxmlformats.org/officeDocument/2006/customXml" ds:itemID="{D46E545F-928D-4D84-946B-CA6A71BF29DC}">
  <ds:schemaRefs/>
</ds:datastoreItem>
</file>

<file path=customXml/itemProps5.xml><?xml version="1.0" encoding="utf-8"?>
<ds:datastoreItem xmlns:ds="http://schemas.openxmlformats.org/officeDocument/2006/customXml" ds:itemID="{77586C0C-3B12-4A51-A48E-60C5AD247B0B}">
  <ds:schemaRefs/>
</ds:datastoreItem>
</file>

<file path=customXml/itemProps6.xml><?xml version="1.0" encoding="utf-8"?>
<ds:datastoreItem xmlns:ds="http://schemas.openxmlformats.org/officeDocument/2006/customXml" ds:itemID="{2E7D4893-7B71-445E-8A79-03F14DEB0D59}">
  <ds:schemaRefs/>
</ds:datastoreItem>
</file>

<file path=customXml/itemProps7.xml><?xml version="1.0" encoding="utf-8"?>
<ds:datastoreItem xmlns:ds="http://schemas.openxmlformats.org/officeDocument/2006/customXml" ds:itemID="{F277C59E-AD9D-42D6-9230-5ACD9D5AFE61}">
  <ds:schemaRefs/>
</ds:datastoreItem>
</file>

<file path=customXml/itemProps8.xml><?xml version="1.0" encoding="utf-8"?>
<ds:datastoreItem xmlns:ds="http://schemas.openxmlformats.org/officeDocument/2006/customXml" ds:itemID="{BA719BA4-2DCB-4F0A-B389-E6CA6D3ED1B8}">
  <ds:schemaRefs/>
</ds:datastoreItem>
</file>

<file path=customXml/itemProps9.xml><?xml version="1.0" encoding="utf-8"?>
<ds:datastoreItem xmlns:ds="http://schemas.openxmlformats.org/officeDocument/2006/customXml" ds:itemID="{297E09AF-0CF8-481A-855A-5173EDB6B3DB}">
  <ds:schemaRefs/>
</ds:datastoreItem>
</file>

<file path=customXml/itemProps10.xml><?xml version="1.0" encoding="utf-8"?>
<ds:datastoreItem xmlns:ds="http://schemas.openxmlformats.org/officeDocument/2006/customXml" ds:itemID="{02C46B90-7554-414E-9407-C80E9F253213}">
  <ds:schemaRefs/>
</ds:datastoreItem>
</file>

<file path=customXml/itemProps11.xml><?xml version="1.0" encoding="utf-8"?>
<ds:datastoreItem xmlns:ds="http://schemas.openxmlformats.org/officeDocument/2006/customXml" ds:itemID="{A8AFB03D-FE82-47D5-9DC4-D595A3755165}">
  <ds:schemaRefs/>
</ds:datastoreItem>
</file>

<file path=customXml/itemProps12.xml><?xml version="1.0" encoding="utf-8"?>
<ds:datastoreItem xmlns:ds="http://schemas.openxmlformats.org/officeDocument/2006/customXml" ds:itemID="{02174476-3654-4AB0-BE48-B957C6DEE3F8}">
  <ds:schemaRefs/>
</ds:datastoreItem>
</file>

<file path=customXml/itemProps13.xml><?xml version="1.0" encoding="utf-8"?>
<ds:datastoreItem xmlns:ds="http://schemas.openxmlformats.org/officeDocument/2006/customXml" ds:itemID="{EE234C00-EEA9-484D-BC11-047C44DE06AE}">
  <ds:schemaRefs/>
</ds:datastoreItem>
</file>

<file path=customXml/itemProps14.xml><?xml version="1.0" encoding="utf-8"?>
<ds:datastoreItem xmlns:ds="http://schemas.openxmlformats.org/officeDocument/2006/customXml" ds:itemID="{1D21E064-5299-4DB1-9D40-880DDC8FCC1B}">
  <ds:schemaRefs/>
</ds:datastoreItem>
</file>

<file path=customXml/itemProps15.xml><?xml version="1.0" encoding="utf-8"?>
<ds:datastoreItem xmlns:ds="http://schemas.openxmlformats.org/officeDocument/2006/customXml" ds:itemID="{D200D654-DFBA-466A-9EF8-90984386A9FE}">
  <ds:schemaRefs/>
</ds:datastoreItem>
</file>

<file path=customXml/itemProps16.xml><?xml version="1.0" encoding="utf-8"?>
<ds:datastoreItem xmlns:ds="http://schemas.openxmlformats.org/officeDocument/2006/customXml" ds:itemID="{499369D0-2A09-4E7F-94AA-09991130ED3B}">
  <ds:schemaRefs/>
</ds:datastoreItem>
</file>

<file path=customXml/itemProps17.xml><?xml version="1.0" encoding="utf-8"?>
<ds:datastoreItem xmlns:ds="http://schemas.openxmlformats.org/officeDocument/2006/customXml" ds:itemID="{90524B57-3A6E-4FD7-AA3D-A6A3F0597A56}">
  <ds:schemaRefs/>
</ds:datastoreItem>
</file>

<file path=customXml/itemProps18.xml><?xml version="1.0" encoding="utf-8"?>
<ds:datastoreItem xmlns:ds="http://schemas.openxmlformats.org/officeDocument/2006/customXml" ds:itemID="{93780F79-A955-4F91-AED7-A5A9CA652637}">
  <ds:schemaRefs/>
</ds:datastoreItem>
</file>

<file path=customXml/itemProps19.xml><?xml version="1.0" encoding="utf-8"?>
<ds:datastoreItem xmlns:ds="http://schemas.openxmlformats.org/officeDocument/2006/customXml" ds:itemID="{2931F251-1B45-4557-82AD-8E7905527F6C}">
  <ds:schemaRefs/>
</ds:datastoreItem>
</file>

<file path=customXml/itemProps20.xml><?xml version="1.0" encoding="utf-8"?>
<ds:datastoreItem xmlns:ds="http://schemas.openxmlformats.org/officeDocument/2006/customXml" ds:itemID="{7DE2BFAC-F99D-49C6-A398-D69FED773349}">
  <ds:schemaRefs/>
</ds:datastoreItem>
</file>

<file path=customXml/itemProps21.xml><?xml version="1.0" encoding="utf-8"?>
<ds:datastoreItem xmlns:ds="http://schemas.openxmlformats.org/officeDocument/2006/customXml" ds:itemID="{9F9F5C47-1AC4-408E-BD9E-C597BB2A9FE0}">
  <ds:schemaRefs/>
</ds:datastoreItem>
</file>

<file path=customXml/itemProps22.xml><?xml version="1.0" encoding="utf-8"?>
<ds:datastoreItem xmlns:ds="http://schemas.openxmlformats.org/officeDocument/2006/customXml" ds:itemID="{3B606F19-FAE7-4358-BEDD-CB9792F5E290}">
  <ds:schemaRefs/>
</ds:datastoreItem>
</file>

<file path=customXml/itemProps23.xml><?xml version="1.0" encoding="utf-8"?>
<ds:datastoreItem xmlns:ds="http://schemas.openxmlformats.org/officeDocument/2006/customXml" ds:itemID="{80CC5D86-AFB1-4E17-8ABE-5DE632580B85}">
  <ds:schemaRefs/>
</ds:datastoreItem>
</file>

<file path=customXml/itemProps24.xml><?xml version="1.0" encoding="utf-8"?>
<ds:datastoreItem xmlns:ds="http://schemas.openxmlformats.org/officeDocument/2006/customXml" ds:itemID="{A664DC84-51EA-46F6-9E2B-93D4D2E607BA}">
  <ds:schemaRefs/>
</ds:datastoreItem>
</file>

<file path=customXml/itemProps25.xml><?xml version="1.0" encoding="utf-8"?>
<ds:datastoreItem xmlns:ds="http://schemas.openxmlformats.org/officeDocument/2006/customXml" ds:itemID="{AC8B8A05-B192-46C5-ABD0-C0235E211F50}">
  <ds:schemaRefs/>
</ds:datastoreItem>
</file>

<file path=customXml/itemProps26.xml><?xml version="1.0" encoding="utf-8"?>
<ds:datastoreItem xmlns:ds="http://schemas.openxmlformats.org/officeDocument/2006/customXml" ds:itemID="{8A9AFE06-F760-4164-9F29-0B42BD993C56}">
  <ds:schemaRefs/>
</ds:datastoreItem>
</file>

<file path=customXml/itemProps27.xml><?xml version="1.0" encoding="utf-8"?>
<ds:datastoreItem xmlns:ds="http://schemas.openxmlformats.org/officeDocument/2006/customXml" ds:itemID="{68F6BE25-BFAF-4733-9096-D477F0649173}">
  <ds:schemaRefs/>
</ds:datastoreItem>
</file>

<file path=customXml/itemProps28.xml><?xml version="1.0" encoding="utf-8"?>
<ds:datastoreItem xmlns:ds="http://schemas.openxmlformats.org/officeDocument/2006/customXml" ds:itemID="{55E7143F-4702-411D-968D-587B5097DE87}">
  <ds:schemaRefs/>
</ds:datastoreItem>
</file>

<file path=customXml/itemProps29.xml><?xml version="1.0" encoding="utf-8"?>
<ds:datastoreItem xmlns:ds="http://schemas.openxmlformats.org/officeDocument/2006/customXml" ds:itemID="{F4A9FA51-2626-4077-9F3F-A9FF89A3C913}">
  <ds:schemaRefs/>
</ds:datastoreItem>
</file>

<file path=customXml/itemProps30.xml><?xml version="1.0" encoding="utf-8"?>
<ds:datastoreItem xmlns:ds="http://schemas.openxmlformats.org/officeDocument/2006/customXml" ds:itemID="{E3BB7044-DA42-4CF8-BAD0-8DA7FC03E5D7}">
  <ds:schemaRefs/>
</ds:datastoreItem>
</file>

<file path=customXml/itemProps31.xml><?xml version="1.0" encoding="utf-8"?>
<ds:datastoreItem xmlns:ds="http://schemas.openxmlformats.org/officeDocument/2006/customXml" ds:itemID="{19AE2043-E07C-4F2E-933D-92957F4140FC}">
  <ds:schemaRefs/>
</ds:datastoreItem>
</file>

<file path=customXml/itemProps32.xml><?xml version="1.0" encoding="utf-8"?>
<ds:datastoreItem xmlns:ds="http://schemas.openxmlformats.org/officeDocument/2006/customXml" ds:itemID="{49574D0D-053A-4582-B150-80887B37EE75}">
  <ds:schemaRefs>
    <ds:schemaRef ds:uri="http://schemas.microsoft.com/DataMashup"/>
  </ds:schemaRefs>
</ds:datastoreItem>
</file>

<file path=customXml/itemProps33.xml><?xml version="1.0" encoding="utf-8"?>
<ds:datastoreItem xmlns:ds="http://schemas.openxmlformats.org/officeDocument/2006/customXml" ds:itemID="{555EA72C-A77E-4CF4-B7D3-9D9D5F317F5F}">
  <ds:schemaRefs/>
</ds:datastoreItem>
</file>

<file path=customXml/itemProps34.xml><?xml version="1.0" encoding="utf-8"?>
<ds:datastoreItem xmlns:ds="http://schemas.openxmlformats.org/officeDocument/2006/customXml" ds:itemID="{7D5DE16A-6D64-4C3E-BF39-34576C298C3F}">
  <ds:schemaRefs/>
</ds:datastoreItem>
</file>

<file path=customXml/itemProps35.xml><?xml version="1.0" encoding="utf-8"?>
<ds:datastoreItem xmlns:ds="http://schemas.openxmlformats.org/officeDocument/2006/customXml" ds:itemID="{5BD5EE90-381D-41FD-91C9-E694386858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Davranış Analizi</vt:lpstr>
      <vt:lpstr>Region analizi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yusif.esmetov@outlook.com</cp:lastModifiedBy>
  <dcterms:created xsi:type="dcterms:W3CDTF">2025-12-15T05:33:32Z</dcterms:created>
  <dcterms:modified xsi:type="dcterms:W3CDTF">2026-01-17T06:19:28Z</dcterms:modified>
</cp:coreProperties>
</file>